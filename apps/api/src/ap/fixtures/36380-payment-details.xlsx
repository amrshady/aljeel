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badi\Desktop\Finanace\M\2026\شركة دروب النهر الازرق\"/>
    </mc:Choice>
  </mc:AlternateContent>
  <xr:revisionPtr revIDLastSave="0" documentId="8_{2DB8ED70-99F3-4F1E-8DD4-D2778D2D7B88}" xr6:coauthVersionLast="47" xr6:coauthVersionMax="47" xr10:uidLastSave="{00000000-0000-0000-0000-000000000000}"/>
  <bookViews>
    <workbookView xWindow="28680" yWindow="-120" windowWidth="29040" windowHeight="15720" activeTab="2" xr2:uid="{45C01A7D-97EF-45F0-9985-E7B40A094DCD}"/>
  </bookViews>
  <sheets>
    <sheet name="Export to Excel" sheetId="1" r:id="rId1"/>
    <sheet name="Sheet1" sheetId="2" r:id="rId2"/>
    <sheet name="Sheet2" sheetId="3" r:id="rId3"/>
    <sheet name="Sheet3" sheetId="4" r:id="rId4"/>
  </sheets>
  <externalReferences>
    <externalReference r:id="rId5"/>
  </externalReferences>
  <definedNames>
    <definedName name="_xlnm._FilterDatabase" localSheetId="0" hidden="1">'Export to Excel'!$A$1:$AG$29</definedName>
    <definedName name="_xlnm._FilterDatabase" localSheetId="1" hidden="1">Sheet1!$A$2:$J$43</definedName>
    <definedName name="_xlnm.Print_Area" localSheetId="0">'Export to Excel'!$B$1:$AG$30</definedName>
    <definedName name="_xlnm.Print_Area" localSheetId="1">Sheet1!$A$1:$H$43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4" l="1"/>
  <c r="F46" i="4"/>
  <c r="F39" i="4"/>
  <c r="F16" i="4"/>
  <c r="B3" i="4"/>
  <c r="F48" i="4" l="1"/>
  <c r="F49" i="4" s="1"/>
  <c r="C40" i="3" l="1"/>
  <c r="B3" i="3"/>
  <c r="F43" i="2" l="1"/>
  <c r="E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G30" i="1"/>
</calcChain>
</file>

<file path=xl/sharedStrings.xml><?xml version="1.0" encoding="utf-8"?>
<sst xmlns="http://schemas.openxmlformats.org/spreadsheetml/2006/main" count="949" uniqueCount="287">
  <si>
    <t>Invoice Number</t>
  </si>
  <si>
    <t>Invoice Date</t>
  </si>
  <si>
    <t>Creation Date</t>
  </si>
  <si>
    <t>Supplier or Party</t>
  </si>
  <si>
    <t>Supplier Site</t>
  </si>
  <si>
    <t>Unpaid Amount</t>
  </si>
  <si>
    <t>Invoice Amount</t>
  </si>
  <si>
    <t>Prepayment Available Amount</t>
  </si>
  <si>
    <t>Applied Prepayments</t>
  </si>
  <si>
    <t>Invoice Type</t>
  </si>
  <si>
    <t>Attachments</t>
  </si>
  <si>
    <t>Source</t>
  </si>
  <si>
    <t>Validation Status</t>
  </si>
  <si>
    <t>Approval Status</t>
  </si>
  <si>
    <t>Holds</t>
  </si>
  <si>
    <t>Employee Number</t>
  </si>
  <si>
    <t>Paid Status</t>
  </si>
  <si>
    <t>Payment Terms</t>
  </si>
  <si>
    <t>Invoice Received Date</t>
  </si>
  <si>
    <t>Settlement Date</t>
  </si>
  <si>
    <t>Business Unit</t>
  </si>
  <si>
    <t>Legal Entity</t>
  </si>
  <si>
    <t>Description</t>
  </si>
  <si>
    <t>Prepayment Status</t>
  </si>
  <si>
    <t>Prepayment Type</t>
  </si>
  <si>
    <t>Accounting Status</t>
  </si>
  <si>
    <t>Document Category</t>
  </si>
  <si>
    <t>Voucher Number</t>
  </si>
  <si>
    <t>Details</t>
  </si>
  <si>
    <t>Comments</t>
  </si>
  <si>
    <t>Comment Preview</t>
  </si>
  <si>
    <t>Currency</t>
  </si>
  <si>
    <t>.</t>
  </si>
  <si>
    <t>شركة دروب النهر الازرق</t>
  </si>
  <si>
    <t>HO</t>
  </si>
  <si>
    <t>Standard</t>
  </si>
  <si>
    <t>None</t>
  </si>
  <si>
    <t>INVOICE GATEWAY</t>
  </si>
  <si>
    <t>Not paid</t>
  </si>
  <si>
    <t>Immediate</t>
  </si>
  <si>
    <t>Aljeel Medical BU</t>
  </si>
  <si>
    <t>الجيل الطبية والتجارية</t>
  </si>
  <si>
    <t>Accounted</t>
  </si>
  <si>
    <t>STD INV - Standard Invoices</t>
  </si>
  <si>
    <t>SAR</t>
  </si>
  <si>
    <t>Manual Invoice Entry</t>
  </si>
  <si>
    <t>Validated</t>
  </si>
  <si>
    <t>Workflow approved</t>
  </si>
  <si>
    <t>Transportation</t>
  </si>
  <si>
    <t>SL/1/202604/000120</t>
  </si>
  <si>
    <t>2612371</t>
  </si>
  <si>
    <t>SL/1/202604/000124</t>
  </si>
  <si>
    <t>Initiated</t>
  </si>
  <si>
    <t>Unaccounted</t>
  </si>
  <si>
    <t>2613972</t>
  </si>
  <si>
    <t>SL/1/202606/000191</t>
  </si>
  <si>
    <t>2613977</t>
  </si>
  <si>
    <t>SL/1/202606/000222</t>
  </si>
  <si>
    <t>2613971</t>
  </si>
  <si>
    <t>SL/1/202606/000223</t>
  </si>
  <si>
    <t>SL/1/202606/000231</t>
  </si>
  <si>
    <t>2612379</t>
  </si>
  <si>
    <t>SL/1/202606/000232</t>
  </si>
  <si>
    <t>2612474</t>
  </si>
  <si>
    <t>SL/1/202606/000233</t>
  </si>
  <si>
    <t>2612475</t>
  </si>
  <si>
    <t>SL/1/202606/000235</t>
  </si>
  <si>
    <t>2612389</t>
  </si>
  <si>
    <t>SL/1/202606/000240</t>
  </si>
  <si>
    <t>2610371</t>
  </si>
  <si>
    <t>SL/1/202606/000241</t>
  </si>
  <si>
    <t>2610372</t>
  </si>
  <si>
    <t>SL/1/202606/000242</t>
  </si>
  <si>
    <t>2610374</t>
  </si>
  <si>
    <t>SL/1/202606/000243</t>
  </si>
  <si>
    <t>2612390</t>
  </si>
  <si>
    <t>SL/1/202606/000244</t>
  </si>
  <si>
    <t>2610376</t>
  </si>
  <si>
    <t>SL/1/202606/000245</t>
  </si>
  <si>
    <t>2613970</t>
  </si>
  <si>
    <t>SL/1/202606/000247</t>
  </si>
  <si>
    <t>2610377</t>
  </si>
  <si>
    <t>SL/1/202606/000248</t>
  </si>
  <si>
    <t>2610379</t>
  </si>
  <si>
    <t>SL/1/202606/000249</t>
  </si>
  <si>
    <t>2610380</t>
  </si>
  <si>
    <t>SL/1/202606/000250</t>
  </si>
  <si>
    <t>2610431</t>
  </si>
  <si>
    <t>SL/1/202606/000251</t>
  </si>
  <si>
    <t>2610629</t>
  </si>
  <si>
    <t>SL/1/202606/000252</t>
  </si>
  <si>
    <t>2610646</t>
  </si>
  <si>
    <t>SL/1/202606/000253</t>
  </si>
  <si>
    <t>2613968</t>
  </si>
  <si>
    <t>SL/1/202606/000254</t>
  </si>
  <si>
    <t>2612391</t>
  </si>
  <si>
    <t>SL/1/202606/000255</t>
  </si>
  <si>
    <t>2613967</t>
  </si>
  <si>
    <t>SL/1/202606/000256</t>
  </si>
  <si>
    <t>2613966</t>
  </si>
  <si>
    <t>SL/1/202606/000257</t>
  </si>
  <si>
    <t>2610637</t>
  </si>
  <si>
    <t>SL/1/202607/000261</t>
  </si>
  <si>
    <t>2613969</t>
  </si>
  <si>
    <t>SL/1/202607/000262</t>
  </si>
  <si>
    <t>2610631</t>
  </si>
  <si>
    <t>SL/1/202607/000263</t>
  </si>
  <si>
    <t>2610628</t>
  </si>
  <si>
    <t>Total</t>
  </si>
  <si>
    <t>الرصيد الافتتاحي : 0.00 مدين</t>
  </si>
  <si>
    <t>م</t>
  </si>
  <si>
    <t>تاريخ المعاملة</t>
  </si>
  <si>
    <t>النوع</t>
  </si>
  <si>
    <t>البيان</t>
  </si>
  <si>
    <t>مدين</t>
  </si>
  <si>
    <t>الحالة</t>
  </si>
  <si>
    <t>ملاحظات</t>
  </si>
  <si>
    <t>10</t>
  </si>
  <si>
    <t>2026-04-08</t>
  </si>
  <si>
    <t>المبيعات</t>
  </si>
  <si>
    <t>SL/1/202604/000045 : قسيمة مبيعات رقم</t>
  </si>
  <si>
    <t xml:space="preserve">لم يتم الصرف </t>
  </si>
  <si>
    <t>SL/1/202604/000045</t>
  </si>
  <si>
    <t>Not found</t>
  </si>
  <si>
    <t>11</t>
  </si>
  <si>
    <t>SL/1/202604/000048 : قسيمة مبيعات رقم</t>
  </si>
  <si>
    <t>SL/1/202604/000048</t>
  </si>
  <si>
    <t>81</t>
  </si>
  <si>
    <t>2026-04-25</t>
  </si>
  <si>
    <t>SL/1/202604/000109 : قسيمة مبيعات رقم</t>
  </si>
  <si>
    <t>مرتجع  فاتورة رقم 72- وثيقة شحن رقم 5987</t>
  </si>
  <si>
    <t>SL/1/202604/000109</t>
  </si>
  <si>
    <t>64</t>
  </si>
  <si>
    <t>2026-04-22</t>
  </si>
  <si>
    <t>SL/1/202604/000110 : قسيمة مبيعات رقم</t>
  </si>
  <si>
    <t>مرتجع  فاتورة رقم 73- وثيقة شحن رقم 5997</t>
  </si>
  <si>
    <t>SL/1/202604/000110</t>
  </si>
  <si>
    <t>82</t>
  </si>
  <si>
    <t>SL/1/202604/000111 : قسيمة مبيعات رقم</t>
  </si>
  <si>
    <t>مرتجع  فاتورة رقم 76- وثيقة شحن رقم 5988</t>
  </si>
  <si>
    <t>SL/1/202604/000111</t>
  </si>
  <si>
    <t>92</t>
  </si>
  <si>
    <t>2026-04-26</t>
  </si>
  <si>
    <t>SL/1/202604/000120 : قسيمة مبيعات رقم</t>
  </si>
  <si>
    <t>وثيقة شحن رقم  5736</t>
  </si>
  <si>
    <t>98</t>
  </si>
  <si>
    <t>2026-04-27</t>
  </si>
  <si>
    <t>SL/1/202604/000124 : قسيمة مبيعات رقم</t>
  </si>
  <si>
    <t>مرتجع  فاتورة رقم 96- وثيقة شحن رقم 5715</t>
  </si>
  <si>
    <t>found</t>
  </si>
  <si>
    <t>84</t>
  </si>
  <si>
    <t>SL/1/202605/000148 : قسيمة مبيعات رقم</t>
  </si>
  <si>
    <t>مرتجع  فاتورة رقم 98- وثيقة شحن رقم 5720</t>
  </si>
  <si>
    <t>SL/1/202605/000148</t>
  </si>
  <si>
    <t>145</t>
  </si>
  <si>
    <t>2026-06-08</t>
  </si>
  <si>
    <t>SL/1/202606/000191 : قسيمة مبيعات رقم</t>
  </si>
  <si>
    <t>155</t>
  </si>
  <si>
    <t>2026-06-09</t>
  </si>
  <si>
    <t>SL/1/202606/000212 : قسيمة مبيعات رقم</t>
  </si>
  <si>
    <t>SL/1/202606/000212</t>
  </si>
  <si>
    <t>161</t>
  </si>
  <si>
    <t>SL/1/202606/000218 : قسيمة مبيعات رقم</t>
  </si>
  <si>
    <t>SL/1/202606/000218</t>
  </si>
  <si>
    <t>166</t>
  </si>
  <si>
    <t>2026-06-11</t>
  </si>
  <si>
    <t>SL/1/202606/000222 : قسيمة مبيعات رقم</t>
  </si>
  <si>
    <t>Found</t>
  </si>
  <si>
    <t>167</t>
  </si>
  <si>
    <t>2026-06-14</t>
  </si>
  <si>
    <t>SL/1/202606/000223 : قسيمة مبيعات رقم</t>
  </si>
  <si>
    <t>174</t>
  </si>
  <si>
    <t>2026-06-15</t>
  </si>
  <si>
    <t>SL/1/202606/000231 : قسيمة مبيعات رقم</t>
  </si>
  <si>
    <t>175</t>
  </si>
  <si>
    <t>SL/1/202606/000232 : قسيمة مبيعات رقم</t>
  </si>
  <si>
    <t>176</t>
  </si>
  <si>
    <t>SL/1/202606/000233 : قسيمة مبيعات رقم</t>
  </si>
  <si>
    <t>178</t>
  </si>
  <si>
    <t>2026-06-16</t>
  </si>
  <si>
    <t>SL/1/202606/000235 : قسيمة مبيعات رقم</t>
  </si>
  <si>
    <t>183</t>
  </si>
  <si>
    <t>2026-06-17</t>
  </si>
  <si>
    <t>SL/1/202606/000240 : قسيمة مبيعات رقم</t>
  </si>
  <si>
    <t>184</t>
  </si>
  <si>
    <t>SL/1/202606/000241 : قسيمة مبيعات رقم</t>
  </si>
  <si>
    <t>185</t>
  </si>
  <si>
    <t>SL/1/202606/000242 : قسيمة مبيعات رقم</t>
  </si>
  <si>
    <t>186</t>
  </si>
  <si>
    <t>SL/1/202606/000243 : قسيمة مبيعات رقم</t>
  </si>
  <si>
    <t>187</t>
  </si>
  <si>
    <t>2026-06-18</t>
  </si>
  <si>
    <t>SL/1/202606/000244 : قسيمة مبيعات رقم</t>
  </si>
  <si>
    <t>188</t>
  </si>
  <si>
    <t>SL/1/202606/000245 : قسيمة مبيعات رقم</t>
  </si>
  <si>
    <t>189</t>
  </si>
  <si>
    <t>2026-06-20</t>
  </si>
  <si>
    <t>SL/1/202606/000247 : قسيمة مبيعات رقم</t>
  </si>
  <si>
    <t>190</t>
  </si>
  <si>
    <t>2026-06-21</t>
  </si>
  <si>
    <t>SL/1/202606/000248 : قسيمة مبيعات رقم</t>
  </si>
  <si>
    <t>191</t>
  </si>
  <si>
    <t>SL/1/202606/000249 : قسيمة مبيعات رقم</t>
  </si>
  <si>
    <t>193</t>
  </si>
  <si>
    <t>2026-06-22</t>
  </si>
  <si>
    <t>SL/1/202606/000250 : قسيمة مبيعات رقم</t>
  </si>
  <si>
    <t>195</t>
  </si>
  <si>
    <t>2026-06-23</t>
  </si>
  <si>
    <t>SL/1/202606/000251 : قسيمة مبيعات رقم</t>
  </si>
  <si>
    <t>196</t>
  </si>
  <si>
    <t>2026-06-24</t>
  </si>
  <si>
    <t>SL/1/202606/000252 : قسيمة مبيعات رقم</t>
  </si>
  <si>
    <t>192</t>
  </si>
  <si>
    <t>SL/1/202606/000253 : قسيمة مبيعات رقم</t>
  </si>
  <si>
    <t>194</t>
  </si>
  <si>
    <t>SL/1/202606/000254 : قسيمة مبيعات رقم</t>
  </si>
  <si>
    <t>199</t>
  </si>
  <si>
    <t>2026-06-25</t>
  </si>
  <si>
    <t>SL/1/202606/000255 : قسيمة مبيعات رقم</t>
  </si>
  <si>
    <t>197</t>
  </si>
  <si>
    <t>SL/1/202606/000256 : قسيمة مبيعات رقم</t>
  </si>
  <si>
    <t>200</t>
  </si>
  <si>
    <t>SL/1/202606/000257 : قسيمة مبيعات رقم</t>
  </si>
  <si>
    <t>201</t>
  </si>
  <si>
    <t>2026-06-28</t>
  </si>
  <si>
    <t>SL/1/202606/000258 : قسيمة مبيعات رقم</t>
  </si>
  <si>
    <t>SL/1/202606/000258</t>
  </si>
  <si>
    <t>202</t>
  </si>
  <si>
    <t>SL/1/202606/000259 : قسيمة مبيعات رقم</t>
  </si>
  <si>
    <t>SL/1/202606/000259</t>
  </si>
  <si>
    <t>203</t>
  </si>
  <si>
    <t>SL/1/202606/000260 : قسيمة مبيعات رقم</t>
  </si>
  <si>
    <t>SL/1/202606/000260</t>
  </si>
  <si>
    <t>found/Not Booked</t>
  </si>
  <si>
    <t>204</t>
  </si>
  <si>
    <t>2026-06-29</t>
  </si>
  <si>
    <t>SL/1/202607/000261 : قسيمة مبيعات رقم</t>
  </si>
  <si>
    <t>198</t>
  </si>
  <si>
    <t>SL/1/202607/000262 : قسيمة مبيعات رقم</t>
  </si>
  <si>
    <t>205</t>
  </si>
  <si>
    <t>SL/1/202607/000263 : قسيمة مبيعات رقم</t>
  </si>
  <si>
    <t>الإجمالي</t>
  </si>
  <si>
    <t>aljeel Medical &amp; Trading Co.</t>
  </si>
  <si>
    <t>Payment details sheet</t>
  </si>
  <si>
    <r>
      <t>Supplier Name:</t>
    </r>
    <r>
      <rPr>
        <b/>
        <sz val="12"/>
        <color theme="1"/>
        <rFont val="Century Gothic"/>
        <family val="2"/>
      </rPr>
      <t>شركة دروب النهر الازرق</t>
    </r>
  </si>
  <si>
    <t>Supplier Number : 12497</t>
  </si>
  <si>
    <t>Currency: SAR</t>
  </si>
  <si>
    <t>Payment Status</t>
  </si>
  <si>
    <t>Doc.no</t>
  </si>
  <si>
    <t>Amount</t>
  </si>
  <si>
    <t>Invoice No</t>
  </si>
  <si>
    <t>Status</t>
  </si>
  <si>
    <t>Date</t>
  </si>
  <si>
    <t>Booked</t>
  </si>
  <si>
    <t>Net To Pay</t>
  </si>
  <si>
    <t>Current Payment</t>
  </si>
  <si>
    <t>PREPARED BY:</t>
  </si>
  <si>
    <t>NAME:</t>
  </si>
  <si>
    <t xml:space="preserve">        NAME:</t>
  </si>
  <si>
    <t>Laith Jaradat</t>
  </si>
  <si>
    <t>Accountant</t>
  </si>
  <si>
    <t>AP Supervisor</t>
  </si>
  <si>
    <t>SIGNATURE</t>
  </si>
  <si>
    <t xml:space="preserve">        SIGNATURE</t>
  </si>
  <si>
    <t xml:space="preserve">        APPROVED BY:</t>
  </si>
  <si>
    <t>Essam Al Braim</t>
  </si>
  <si>
    <t>Chief Accountant</t>
  </si>
  <si>
    <t>Mohammed Al-Labadi</t>
  </si>
  <si>
    <t>Supplier Name</t>
  </si>
  <si>
    <t>BALANCE PER BOOKS</t>
  </si>
  <si>
    <t>Supplier Number</t>
  </si>
  <si>
    <t xml:space="preserve">BALANCE PER SUPPLIERS BOOKS </t>
  </si>
  <si>
    <t>Facility</t>
  </si>
  <si>
    <t>Add</t>
  </si>
  <si>
    <t xml:space="preserve">Transactions not showing in the Supplier book          (Add into our book balance)       </t>
  </si>
  <si>
    <t>Due Date</t>
  </si>
  <si>
    <t>Account Description</t>
  </si>
  <si>
    <t>Explanation Remark</t>
  </si>
  <si>
    <t xml:space="preserve">Transactions not booked in Aljeel books                       (Add into our book balance)      </t>
  </si>
  <si>
    <t>Deduct</t>
  </si>
  <si>
    <t xml:space="preserve">Transactions not showing in the Supplier book (Deduct into our book balance)       </t>
  </si>
  <si>
    <t xml:space="preserve">Transactions not booked in Aljeel books            (Deduct into our book balance)       </t>
  </si>
  <si>
    <t>Books Adjusted Balance</t>
  </si>
  <si>
    <t>Differences In Begning Balance</t>
  </si>
  <si>
    <t xml:space="preserve">NAME: </t>
  </si>
  <si>
    <t xml:space="preserve">POSITION: </t>
  </si>
  <si>
    <t xml:space="preserve">       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</si>
</sst>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8" formatCode="dd\-mmm\-yyyy"/>
    <numFmt numFmtId="169" formatCode="dd\-mmm\-yyyy\ h:mm\ AM/PM"/>
    <numFmt numFmtId="170" formatCode="#,##0.###"/>
    <numFmt numFmtId="172" formatCode="dd\.mm\.yyyy;@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 tint="-0.499984740745262"/>
      <name val="Century Gothic"/>
      <family val="1"/>
    </font>
    <font>
      <b/>
      <sz val="20"/>
      <color theme="0" tint="-0.34998626667073579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</font>
    <font>
      <b/>
      <sz val="10"/>
      <color theme="0"/>
      <name val="Century Gothic"/>
      <family val="1"/>
    </font>
    <font>
      <sz val="6"/>
      <color rgb="FF333333"/>
      <name val="Arial"/>
      <family val="2"/>
    </font>
    <font>
      <b/>
      <sz val="11"/>
      <color theme="1"/>
      <name val="Century Gothic"/>
      <family val="1"/>
    </font>
    <font>
      <b/>
      <sz val="12"/>
      <color theme="1"/>
      <name val="Century Gothic"/>
      <family val="2"/>
    </font>
    <font>
      <sz val="7"/>
      <color rgb="FF333333"/>
      <name val="Arial"/>
      <family val="2"/>
    </font>
    <font>
      <sz val="12"/>
      <color theme="1"/>
      <name val="Century Gothic"/>
      <family val="1"/>
    </font>
    <font>
      <b/>
      <sz val="12"/>
      <color theme="3"/>
      <name val="Century Gothic"/>
      <family val="1"/>
    </font>
    <font>
      <b/>
      <sz val="9"/>
      <color theme="3"/>
      <name val="Century Gothic"/>
      <family val="1"/>
    </font>
    <font>
      <b/>
      <sz val="10"/>
      <color rgb="FFFFFFFF"/>
      <name val="Century Gothic"/>
      <family val="1"/>
    </font>
    <font>
      <b/>
      <sz val="10"/>
      <color rgb="FF333333"/>
      <name val="Arial"/>
      <family val="2"/>
    </font>
    <font>
      <sz val="10"/>
      <name val="Century Gothic"/>
      <family val="1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b/>
      <sz val="9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Century Gothic"/>
      <family val="1"/>
    </font>
    <font>
      <b/>
      <sz val="12"/>
      <color theme="1"/>
      <name val="Arial"/>
      <family val="2"/>
    </font>
    <font>
      <sz val="9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249977111117893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108">
    <xf numFmtId="0" fontId="0" fillId="0" borderId="0" xfId="0"/>
    <xf numFmtId="0" fontId="16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0" xfId="0" applyNumberFormat="1" applyFont="1" applyAlignment="1">
      <alignment wrapText="1"/>
    </xf>
    <xf numFmtId="168" fontId="18" fillId="0" borderId="0" xfId="0" applyNumberFormat="1" applyFont="1" applyAlignment="1">
      <alignment wrapText="1"/>
    </xf>
    <xf numFmtId="169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170" fontId="18" fillId="0" borderId="0" xfId="0" applyNumberFormat="1" applyFont="1" applyAlignment="1">
      <alignment wrapText="1"/>
    </xf>
    <xf numFmtId="4" fontId="0" fillId="0" borderId="0" xfId="0" applyNumberFormat="1"/>
    <xf numFmtId="49" fontId="19" fillId="0" borderId="10" xfId="0" applyNumberFormat="1" applyFont="1" applyBorder="1" applyAlignment="1">
      <alignment wrapText="1"/>
    </xf>
    <xf numFmtId="4" fontId="16" fillId="0" borderId="10" xfId="0" applyNumberFormat="1" applyFont="1" applyBorder="1"/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0" fillId="0" borderId="0" xfId="0" applyFont="1" applyAlignment="1">
      <alignment horizontal="center"/>
    </xf>
    <xf numFmtId="0" fontId="20" fillId="33" borderId="0" xfId="0" applyFont="1" applyFill="1" applyAlignment="1">
      <alignment horizontal="center"/>
    </xf>
    <xf numFmtId="0" fontId="0" fillId="0" borderId="0" xfId="0" applyAlignment="1"/>
    <xf numFmtId="43" fontId="20" fillId="0" borderId="0" xfId="1" applyFont="1" applyAlignment="1">
      <alignment horizontal="center"/>
    </xf>
    <xf numFmtId="0" fontId="0" fillId="33" borderId="0" xfId="0" applyFill="1" applyAlignment="1"/>
    <xf numFmtId="43" fontId="21" fillId="0" borderId="0" xfId="1" applyFont="1" applyAlignment="1">
      <alignment horizontal="center"/>
    </xf>
    <xf numFmtId="0" fontId="20" fillId="0" borderId="0" xfId="0" applyFont="1" applyFill="1" applyAlignment="1">
      <alignment horizontal="center"/>
    </xf>
    <xf numFmtId="43" fontId="20" fillId="0" borderId="0" xfId="1" applyFont="1" applyFill="1" applyAlignment="1">
      <alignment horizontal="center"/>
    </xf>
    <xf numFmtId="0" fontId="0" fillId="0" borderId="0" xfId="0" applyFill="1" applyAlignment="1"/>
    <xf numFmtId="14" fontId="22" fillId="0" borderId="0" xfId="0" applyNumberFormat="1" applyFont="1" applyAlignment="1">
      <alignment horizontal="centerContinuous" vertical="center"/>
    </xf>
    <xf numFmtId="0" fontId="24" fillId="0" borderId="0" xfId="43" applyFont="1" applyAlignment="1">
      <alignment horizontal="centerContinuous" vertical="center"/>
    </xf>
    <xf numFmtId="0" fontId="25" fillId="0" borderId="0" xfId="43" applyFont="1" applyAlignment="1">
      <alignment horizontal="centerContinuous" vertical="center"/>
    </xf>
    <xf numFmtId="0" fontId="26" fillId="0" borderId="0" xfId="43" applyFont="1" applyAlignment="1">
      <alignment vertical="center"/>
    </xf>
    <xf numFmtId="0" fontId="27" fillId="0" borderId="0" xfId="43" applyFont="1" applyAlignment="1">
      <alignment vertical="center"/>
    </xf>
    <xf numFmtId="0" fontId="28" fillId="34" borderId="11" xfId="43" applyFont="1" applyFill="1" applyBorder="1" applyAlignment="1">
      <alignment horizontal="centerContinuous" vertical="center" wrapText="1"/>
    </xf>
    <xf numFmtId="0" fontId="0" fillId="0" borderId="0" xfId="0" applyAlignment="1">
      <alignment vertical="center"/>
    </xf>
    <xf numFmtId="0" fontId="29" fillId="0" borderId="0" xfId="0" applyFont="1"/>
    <xf numFmtId="0" fontId="30" fillId="0" borderId="0" xfId="43" applyFont="1" applyAlignment="1">
      <alignment horizontal="left" vertical="center" indent="1"/>
    </xf>
    <xf numFmtId="0" fontId="32" fillId="0" borderId="0" xfId="0" applyFont="1"/>
    <xf numFmtId="0" fontId="33" fillId="0" borderId="0" xfId="43" applyFont="1" applyAlignment="1">
      <alignment horizontal="center"/>
    </xf>
    <xf numFmtId="0" fontId="33" fillId="0" borderId="0" xfId="43" applyFont="1"/>
    <xf numFmtId="0" fontId="0" fillId="0" borderId="0" xfId="0" applyAlignment="1">
      <alignment horizontal="center"/>
    </xf>
    <xf numFmtId="0" fontId="33" fillId="0" borderId="0" xfId="43" applyFont="1" applyAlignment="1">
      <alignment vertical="center"/>
    </xf>
    <xf numFmtId="4" fontId="33" fillId="0" borderId="0" xfId="43" applyNumberFormat="1" applyFont="1"/>
    <xf numFmtId="0" fontId="33" fillId="0" borderId="0" xfId="43" applyFont="1" applyAlignment="1">
      <alignment horizontal="center" vertical="center"/>
    </xf>
    <xf numFmtId="0" fontId="34" fillId="0" borderId="0" xfId="43" applyFont="1" applyAlignment="1">
      <alignment vertical="center"/>
    </xf>
    <xf numFmtId="0" fontId="33" fillId="0" borderId="0" xfId="43" applyFont="1" applyAlignment="1">
      <alignment horizontal="left" vertical="center"/>
    </xf>
    <xf numFmtId="0" fontId="35" fillId="0" borderId="0" xfId="43" applyFont="1" applyAlignment="1">
      <alignment horizontal="left" wrapText="1" indent="1"/>
    </xf>
    <xf numFmtId="0" fontId="28" fillId="34" borderId="12" xfId="43" applyFont="1" applyFill="1" applyBorder="1" applyAlignment="1">
      <alignment horizontal="center" vertical="center" wrapText="1"/>
    </xf>
    <xf numFmtId="14" fontId="36" fillId="35" borderId="12" xfId="43" applyNumberFormat="1" applyFont="1" applyFill="1" applyBorder="1" applyAlignment="1">
      <alignment horizontal="center" vertical="center" wrapText="1"/>
    </xf>
    <xf numFmtId="9" fontId="39" fillId="38" borderId="13" xfId="43" applyNumberFormat="1" applyFont="1" applyFill="1" applyBorder="1" applyAlignment="1">
      <alignment horizontal="center" vertical="center" wrapText="1"/>
    </xf>
    <xf numFmtId="4" fontId="40" fillId="38" borderId="13" xfId="1" applyNumberFormat="1" applyFont="1" applyFill="1" applyBorder="1" applyAlignment="1">
      <alignment horizontal="center" vertical="center" wrapText="1"/>
    </xf>
    <xf numFmtId="14" fontId="38" fillId="38" borderId="13" xfId="43" applyNumberFormat="1" applyFont="1" applyFill="1" applyBorder="1" applyAlignment="1">
      <alignment horizontal="center" vertical="center" wrapText="1"/>
    </xf>
    <xf numFmtId="0" fontId="41" fillId="0" borderId="0" xfId="0" applyFont="1" applyAlignment="1">
      <alignment horizontal="left" vertical="center"/>
    </xf>
    <xf numFmtId="0" fontId="42" fillId="0" borderId="0" xfId="43" applyFont="1"/>
    <xf numFmtId="0" fontId="37" fillId="36" borderId="12" xfId="0" applyFont="1" applyFill="1" applyBorder="1" applyAlignment="1">
      <alignment horizontal="center" vertical="center"/>
    </xf>
    <xf numFmtId="0" fontId="37" fillId="36" borderId="13" xfId="0" applyFont="1" applyFill="1" applyBorder="1" applyAlignment="1">
      <alignment horizontal="center" vertical="center"/>
    </xf>
    <xf numFmtId="4" fontId="37" fillId="0" borderId="12" xfId="0" applyNumberFormat="1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14" fontId="38" fillId="37" borderId="12" xfId="43" applyNumberFormat="1" applyFont="1" applyFill="1" applyBorder="1" applyAlignment="1">
      <alignment horizontal="center" vertical="center"/>
    </xf>
    <xf numFmtId="0" fontId="33" fillId="0" borderId="0" xfId="43" applyFont="1" applyAlignment="1"/>
    <xf numFmtId="4" fontId="37" fillId="0" borderId="13" xfId="0" applyNumberFormat="1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14" fontId="38" fillId="37" borderId="13" xfId="43" applyNumberFormat="1" applyFont="1" applyFill="1" applyBorder="1" applyAlignment="1">
      <alignment horizontal="center" vertical="center"/>
    </xf>
    <xf numFmtId="0" fontId="43" fillId="0" borderId="0" xfId="43" applyFont="1"/>
    <xf numFmtId="0" fontId="16" fillId="0" borderId="0" xfId="0" applyFont="1" applyAlignment="1">
      <alignment horizontal="left"/>
    </xf>
    <xf numFmtId="0" fontId="44" fillId="0" borderId="0" xfId="43" applyFont="1"/>
    <xf numFmtId="0" fontId="43" fillId="0" borderId="0" xfId="43" applyFont="1" applyAlignment="1">
      <alignment horizontal="left"/>
    </xf>
    <xf numFmtId="0" fontId="43" fillId="0" borderId="0" xfId="43" applyFont="1" applyAlignment="1">
      <alignment horizontal="center"/>
    </xf>
    <xf numFmtId="14" fontId="22" fillId="0" borderId="0" xfId="0" applyNumberFormat="1" applyFont="1" applyAlignment="1">
      <alignment vertical="center"/>
    </xf>
    <xf numFmtId="0" fontId="0" fillId="39" borderId="0" xfId="0" applyFill="1"/>
    <xf numFmtId="0" fontId="41" fillId="0" borderId="0" xfId="0" applyFont="1"/>
    <xf numFmtId="14" fontId="41" fillId="0" borderId="14" xfId="1" applyNumberFormat="1" applyFont="1" applyBorder="1" applyAlignment="1">
      <alignment horizontal="center"/>
    </xf>
    <xf numFmtId="14" fontId="41" fillId="0" borderId="0" xfId="1" applyNumberFormat="1" applyFont="1" applyBorder="1" applyAlignment="1">
      <alignment horizontal="center"/>
    </xf>
    <xf numFmtId="0" fontId="41" fillId="0" borderId="0" xfId="0" applyFont="1" applyAlignment="1">
      <alignment horizontal="left"/>
    </xf>
    <xf numFmtId="43" fontId="41" fillId="0" borderId="14" xfId="1" applyFont="1" applyBorder="1" applyAlignment="1">
      <alignment horizontal="right" vertical="center"/>
    </xf>
    <xf numFmtId="1" fontId="41" fillId="0" borderId="14" xfId="1" applyNumberFormat="1" applyFont="1" applyBorder="1" applyAlignment="1">
      <alignment horizontal="center"/>
    </xf>
    <xf numFmtId="1" fontId="41" fillId="0" borderId="0" xfId="1" applyNumberFormat="1" applyFont="1" applyBorder="1" applyAlignment="1">
      <alignment horizontal="center"/>
    </xf>
    <xf numFmtId="43" fontId="0" fillId="0" borderId="0" xfId="1" applyFont="1"/>
    <xf numFmtId="14" fontId="41" fillId="0" borderId="14" xfId="1" applyNumberFormat="1" applyFont="1" applyBorder="1" applyAlignment="1">
      <alignment horizontal="right" vertical="center"/>
    </xf>
    <xf numFmtId="0" fontId="13" fillId="40" borderId="15" xfId="0" applyFont="1" applyFill="1" applyBorder="1"/>
    <xf numFmtId="0" fontId="13" fillId="40" borderId="16" xfId="0" applyFont="1" applyFill="1" applyBorder="1"/>
    <xf numFmtId="0" fontId="13" fillId="41" borderId="17" xfId="0" applyFont="1" applyFill="1" applyBorder="1"/>
    <xf numFmtId="0" fontId="13" fillId="41" borderId="18" xfId="0" applyFont="1" applyFill="1" applyBorder="1"/>
    <xf numFmtId="43" fontId="45" fillId="0" borderId="19" xfId="1" applyFont="1" applyBorder="1" applyAlignment="1">
      <alignment horizontal="center" vertical="center" wrapText="1"/>
    </xf>
    <xf numFmtId="0" fontId="41" fillId="0" borderId="20" xfId="0" applyFont="1" applyBorder="1" applyAlignment="1">
      <alignment horizontal="center" vertical="center"/>
    </xf>
    <xf numFmtId="43" fontId="45" fillId="0" borderId="21" xfId="1" applyFont="1" applyBorder="1" applyAlignment="1">
      <alignment horizontal="center" vertical="center" wrapText="1"/>
    </xf>
    <xf numFmtId="172" fontId="45" fillId="0" borderId="20" xfId="1" applyNumberFormat="1" applyFont="1" applyBorder="1" applyAlignment="1">
      <alignment horizontal="center" vertical="center"/>
    </xf>
    <xf numFmtId="49" fontId="18" fillId="0" borderId="22" xfId="0" applyNumberFormat="1" applyFont="1" applyBorder="1"/>
    <xf numFmtId="43" fontId="45" fillId="0" borderId="22" xfId="1" applyFont="1" applyBorder="1" applyAlignment="1">
      <alignment horizontal="center" vertical="center"/>
    </xf>
    <xf numFmtId="43" fontId="45" fillId="0" borderId="22" xfId="1" applyFont="1" applyBorder="1" applyAlignment="1"/>
    <xf numFmtId="0" fontId="0" fillId="0" borderId="20" xfId="0" applyBorder="1" applyAlignment="1">
      <alignment horizontal="left"/>
    </xf>
    <xf numFmtId="0" fontId="0" fillId="0" borderId="18" xfId="0" applyBorder="1" applyAlignment="1">
      <alignment horizontal="left"/>
    </xf>
    <xf numFmtId="43" fontId="41" fillId="42" borderId="23" xfId="1" applyFont="1" applyFill="1" applyBorder="1" applyAlignment="1"/>
    <xf numFmtId="0" fontId="13" fillId="41" borderId="24" xfId="0" applyFont="1" applyFill="1" applyBorder="1"/>
    <xf numFmtId="0" fontId="41" fillId="0" borderId="22" xfId="0" applyFont="1" applyBorder="1" applyAlignment="1">
      <alignment horizontal="center" vertical="center"/>
    </xf>
    <xf numFmtId="4" fontId="41" fillId="0" borderId="22" xfId="0" applyNumberFormat="1" applyFont="1" applyBorder="1" applyAlignment="1">
      <alignment horizontal="center" vertical="center"/>
    </xf>
    <xf numFmtId="43" fontId="41" fillId="42" borderId="23" xfId="1" applyFont="1" applyFill="1" applyBorder="1" applyAlignment="1">
      <alignment horizontal="left" vertical="center"/>
    </xf>
    <xf numFmtId="43" fontId="45" fillId="0" borderId="25" xfId="1" applyFont="1" applyBorder="1" applyAlignment="1">
      <alignment horizontal="center" vertical="center" wrapText="1"/>
    </xf>
    <xf numFmtId="43" fontId="45" fillId="0" borderId="26" xfId="1" applyFont="1" applyBorder="1" applyAlignment="1">
      <alignment horizontal="center" vertical="center" wrapText="1"/>
    </xf>
    <xf numFmtId="172" fontId="45" fillId="0" borderId="22" xfId="1" applyNumberFormat="1" applyFont="1" applyBorder="1" applyAlignment="1"/>
    <xf numFmtId="49" fontId="41" fillId="0" borderId="20" xfId="0" applyNumberFormat="1" applyFont="1" applyBorder="1" applyAlignment="1">
      <alignment horizontal="center" vertical="center"/>
    </xf>
    <xf numFmtId="4" fontId="41" fillId="0" borderId="20" xfId="0" applyNumberFormat="1" applyFont="1" applyBorder="1" applyAlignment="1">
      <alignment horizontal="center" vertical="center"/>
    </xf>
    <xf numFmtId="43" fontId="41" fillId="0" borderId="22" xfId="1" applyFont="1" applyBorder="1" applyAlignment="1"/>
    <xf numFmtId="0" fontId="0" fillId="0" borderId="24" xfId="0" applyBorder="1" applyAlignment="1">
      <alignment horizontal="left"/>
    </xf>
    <xf numFmtId="4" fontId="41" fillId="42" borderId="0" xfId="1" applyNumberFormat="1" applyFont="1" applyFill="1" applyBorder="1" applyAlignment="1"/>
    <xf numFmtId="172" fontId="45" fillId="0" borderId="20" xfId="1" applyNumberFormat="1" applyFont="1" applyBorder="1" applyAlignment="1"/>
    <xf numFmtId="43" fontId="45" fillId="0" borderId="20" xfId="1" applyFont="1" applyBorder="1" applyAlignment="1"/>
    <xf numFmtId="49" fontId="45" fillId="0" borderId="20" xfId="1" applyNumberFormat="1" applyFont="1" applyBorder="1" applyAlignment="1"/>
    <xf numFmtId="43" fontId="45" fillId="0" borderId="20" xfId="1" applyFont="1" applyBorder="1" applyAlignment="1">
      <alignment horizontal="center"/>
    </xf>
    <xf numFmtId="43" fontId="41" fillId="42" borderId="23" xfId="1" applyFont="1" applyFill="1" applyBorder="1" applyAlignment="1">
      <alignment horizontal="center"/>
    </xf>
    <xf numFmtId="0" fontId="16" fillId="43" borderId="20" xfId="0" applyFont="1" applyFill="1" applyBorder="1" applyAlignment="1">
      <alignment horizontal="left"/>
    </xf>
    <xf numFmtId="0" fontId="16" fillId="43" borderId="18" xfId="0" applyFont="1" applyFill="1" applyBorder="1" applyAlignment="1">
      <alignment horizontal="left"/>
    </xf>
    <xf numFmtId="43" fontId="41" fillId="43" borderId="23" xfId="1" applyFont="1" applyFill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4321A94D-B8EE-4527-8634-28E6441BBE68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port%20(82).xls" TargetMode="External"/><Relationship Id="rId1" Type="http://schemas.openxmlformats.org/officeDocument/2006/relationships/externalLinkPath" Target="file:///D:\export%20(8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 to Excel"/>
    </sheetNames>
    <sheetDataSet>
      <sheetData sheetId="0">
        <row r="1">
          <cell r="B1" t="str">
            <v>Invoice Number</v>
          </cell>
        </row>
        <row r="2">
          <cell r="B2" t="str">
            <v>SL/1/202604/000043</v>
          </cell>
        </row>
        <row r="3">
          <cell r="B3" t="str">
            <v>SL/1/202604/000044</v>
          </cell>
        </row>
        <row r="4">
          <cell r="B4" t="str">
            <v>SL/1/202604/000046</v>
          </cell>
        </row>
        <row r="5">
          <cell r="B5" t="str">
            <v>SL/1/202604/000050</v>
          </cell>
        </row>
        <row r="6">
          <cell r="B6" t="str">
            <v>SL/1/202604/000054</v>
          </cell>
        </row>
        <row r="7">
          <cell r="B7" t="str">
            <v>SL/1/202604/000055</v>
          </cell>
        </row>
        <row r="8">
          <cell r="B8" t="str">
            <v>SL/1/202604/000057</v>
          </cell>
        </row>
        <row r="9">
          <cell r="B9" t="str">
            <v>SL/1/202604/000060</v>
          </cell>
        </row>
        <row r="10">
          <cell r="B10" t="str">
            <v>SL/1/202604/000061</v>
          </cell>
        </row>
        <row r="11">
          <cell r="B11" t="str">
            <v>SL/1/202604/000062</v>
          </cell>
        </row>
        <row r="12">
          <cell r="B12" t="str">
            <v>SL/1/202604/000063</v>
          </cell>
        </row>
        <row r="13">
          <cell r="B13" t="str">
            <v>SL/1/202604/000064</v>
          </cell>
        </row>
        <row r="14">
          <cell r="B14" t="str">
            <v>SL/1/202604/000065</v>
          </cell>
        </row>
        <row r="15">
          <cell r="B15" t="str">
            <v>SL/1/202604/000066</v>
          </cell>
        </row>
        <row r="16">
          <cell r="B16" t="str">
            <v>SL/1/202604/000067</v>
          </cell>
        </row>
        <row r="17">
          <cell r="B17" t="str">
            <v>SL/1/202604/000068</v>
          </cell>
        </row>
        <row r="18">
          <cell r="B18" t="str">
            <v>SL/1/202604/000069</v>
          </cell>
        </row>
        <row r="19">
          <cell r="B19" t="str">
            <v>SL/1/202604/000070</v>
          </cell>
        </row>
        <row r="20">
          <cell r="B20" t="str">
            <v>SL/1/202604/000071</v>
          </cell>
        </row>
        <row r="21">
          <cell r="B21" t="str">
            <v>SL/1/202604/000072</v>
          </cell>
        </row>
        <row r="22">
          <cell r="B22" t="str">
            <v>SL/1/202604/000073</v>
          </cell>
        </row>
        <row r="23">
          <cell r="B23" t="str">
            <v>SL/1/202604/000074</v>
          </cell>
        </row>
        <row r="24">
          <cell r="B24" t="str">
            <v>SL/1/202604/000075</v>
          </cell>
        </row>
        <row r="25">
          <cell r="B25" t="str">
            <v>SL/1/202604/000076</v>
          </cell>
        </row>
        <row r="26">
          <cell r="B26" t="str">
            <v>SL/1/202604/000077</v>
          </cell>
        </row>
        <row r="27">
          <cell r="B27" t="str">
            <v>SL/1/202604/000078</v>
          </cell>
        </row>
        <row r="28">
          <cell r="B28" t="str">
            <v>SL/1/202604/000079</v>
          </cell>
        </row>
        <row r="29">
          <cell r="B29" t="str">
            <v>SL/1/202604/000080</v>
          </cell>
        </row>
        <row r="30">
          <cell r="B30" t="str">
            <v>SL/1/202604/000081</v>
          </cell>
        </row>
        <row r="31">
          <cell r="B31" t="str">
            <v>SL/1/202604/000082</v>
          </cell>
        </row>
        <row r="32">
          <cell r="B32" t="str">
            <v>SL/1/202604/000083</v>
          </cell>
        </row>
        <row r="33">
          <cell r="B33" t="str">
            <v>SL/1/202604/000084</v>
          </cell>
        </row>
        <row r="34">
          <cell r="B34" t="str">
            <v>SL/1/202604/000085</v>
          </cell>
        </row>
        <row r="35">
          <cell r="B35" t="str">
            <v>SL/1/202604/000086</v>
          </cell>
        </row>
        <row r="36">
          <cell r="B36" t="str">
            <v>SL/1/202604/000087</v>
          </cell>
        </row>
        <row r="37">
          <cell r="B37" t="str">
            <v>SL/1/202604/000088</v>
          </cell>
        </row>
        <row r="38">
          <cell r="B38" t="str">
            <v>SL/1/202604/000089</v>
          </cell>
        </row>
        <row r="39">
          <cell r="B39" t="str">
            <v>SL/1/202604/000090</v>
          </cell>
        </row>
        <row r="40">
          <cell r="B40" t="str">
            <v>SL/1/202604/000091</v>
          </cell>
        </row>
        <row r="41">
          <cell r="B41" t="str">
            <v>SL/1/202604/000092</v>
          </cell>
        </row>
        <row r="42">
          <cell r="B42" t="str">
            <v>SL/1/202604/000093</v>
          </cell>
        </row>
        <row r="43">
          <cell r="B43" t="str">
            <v>SL/1/202604/000094</v>
          </cell>
        </row>
        <row r="44">
          <cell r="B44" t="str">
            <v>SL/1/202604/000095</v>
          </cell>
        </row>
        <row r="45">
          <cell r="B45" t="str">
            <v>SL/1/202604/000096</v>
          </cell>
        </row>
        <row r="46">
          <cell r="B46" t="str">
            <v>SL/1/202604/000097</v>
          </cell>
        </row>
        <row r="47">
          <cell r="B47" t="str">
            <v>SL/1/202604/000098</v>
          </cell>
        </row>
        <row r="48">
          <cell r="B48" t="str">
            <v>SL/1/202604/000100</v>
          </cell>
        </row>
        <row r="49">
          <cell r="B49" t="str">
            <v>SL/1/202604/000101</v>
          </cell>
        </row>
        <row r="50">
          <cell r="B50" t="str">
            <v>SL/1/202604/000102</v>
          </cell>
        </row>
        <row r="51">
          <cell r="B51" t="str">
            <v>SL/1/202604/000103</v>
          </cell>
        </row>
        <row r="52">
          <cell r="B52" t="str">
            <v>SL/1/202604/000104</v>
          </cell>
        </row>
        <row r="53">
          <cell r="B53" t="str">
            <v>SL/1/202604/000105</v>
          </cell>
        </row>
        <row r="54">
          <cell r="B54" t="str">
            <v>SL/1/202604/000106</v>
          </cell>
        </row>
        <row r="55">
          <cell r="B55" t="str">
            <v>SL/1/202604/000107</v>
          </cell>
        </row>
        <row r="56">
          <cell r="B56" t="str">
            <v>SL/1/202604/000108</v>
          </cell>
        </row>
        <row r="57">
          <cell r="B57" t="str">
            <v>SL/1/202604/000112</v>
          </cell>
        </row>
        <row r="58">
          <cell r="B58" t="str">
            <v>SL/1/202604/000113</v>
          </cell>
        </row>
        <row r="59">
          <cell r="B59" t="str">
            <v>SL/1/202604/000114</v>
          </cell>
        </row>
        <row r="60">
          <cell r="B60" t="str">
            <v>SL/1/202604/000115</v>
          </cell>
        </row>
        <row r="61">
          <cell r="B61" t="str">
            <v>SL/1/202604/000116</v>
          </cell>
        </row>
        <row r="62">
          <cell r="B62" t="str">
            <v>SL/1/202604/000117</v>
          </cell>
        </row>
        <row r="63">
          <cell r="B63" t="str">
            <v>SL/1/202604/000118</v>
          </cell>
        </row>
        <row r="64">
          <cell r="B64" t="str">
            <v>SL/1/202604/000119</v>
          </cell>
        </row>
        <row r="65">
          <cell r="B65" t="str">
            <v>SL/1/202604/000120</v>
          </cell>
        </row>
        <row r="66">
          <cell r="B66" t="str">
            <v>SL/1/202604/000121</v>
          </cell>
        </row>
        <row r="67">
          <cell r="B67" t="str">
            <v>SL/1/202604/000122</v>
          </cell>
        </row>
        <row r="68">
          <cell r="B68" t="str">
            <v>SL/1/202604/000123</v>
          </cell>
        </row>
        <row r="69">
          <cell r="B69" t="str">
            <v>SL/1/202604/000125</v>
          </cell>
        </row>
        <row r="70">
          <cell r="B70" t="str">
            <v>SL/1/202604/000126</v>
          </cell>
        </row>
        <row r="71">
          <cell r="B71" t="str">
            <v>SL/1/202604/000127</v>
          </cell>
        </row>
        <row r="72">
          <cell r="B72" t="str">
            <v>SL/1/202604/000128</v>
          </cell>
        </row>
        <row r="73">
          <cell r="B73" t="str">
            <v>SL/1/202604/000129</v>
          </cell>
        </row>
        <row r="74">
          <cell r="B74" t="str">
            <v>SL/1/202604/000130</v>
          </cell>
        </row>
        <row r="75">
          <cell r="B75" t="str">
            <v>SL/1/202604/000131</v>
          </cell>
        </row>
        <row r="76">
          <cell r="B76" t="str">
            <v>SL/1/202604/000132</v>
          </cell>
        </row>
        <row r="77">
          <cell r="B77" t="str">
            <v>SL/1/202604/000134</v>
          </cell>
        </row>
        <row r="78">
          <cell r="B78" t="str">
            <v>SL/1/202604/000135</v>
          </cell>
        </row>
        <row r="79">
          <cell r="B79" t="str">
            <v>SL/1/202604/000136</v>
          </cell>
        </row>
        <row r="80">
          <cell r="B80" t="str">
            <v>SL/1/202604/000149</v>
          </cell>
        </row>
        <row r="81">
          <cell r="B81" t="str">
            <v>SL/1/202604/000150</v>
          </cell>
        </row>
        <row r="82">
          <cell r="B82" t="str">
            <v>SL/1/202604/000151</v>
          </cell>
        </row>
        <row r="83">
          <cell r="B83" t="str">
            <v>SL/1/202604/000156</v>
          </cell>
        </row>
        <row r="84">
          <cell r="B84" t="str">
            <v>SL/1/202604/00099</v>
          </cell>
        </row>
        <row r="85">
          <cell r="B85" t="str">
            <v>SL/1/202605/000138</v>
          </cell>
        </row>
        <row r="86">
          <cell r="B86" t="str">
            <v>SL/1/202605/000139</v>
          </cell>
        </row>
        <row r="87">
          <cell r="B87" t="str">
            <v>SL/1/202605/000140</v>
          </cell>
        </row>
        <row r="88">
          <cell r="B88" t="str">
            <v>SL/1/202605/000141</v>
          </cell>
        </row>
        <row r="89">
          <cell r="B89" t="str">
            <v>SL/1/202605/000142</v>
          </cell>
        </row>
        <row r="90">
          <cell r="B90" t="str">
            <v>SL/1/202605/000143</v>
          </cell>
        </row>
        <row r="91">
          <cell r="B91" t="str">
            <v>SL/1/202605/000144</v>
          </cell>
        </row>
        <row r="92">
          <cell r="B92" t="str">
            <v>SL/1/202605/000145</v>
          </cell>
        </row>
        <row r="93">
          <cell r="B93" t="str">
            <v>SL/1/202605/000146</v>
          </cell>
        </row>
        <row r="94">
          <cell r="B94" t="str">
            <v>SL/1/202605/000147</v>
          </cell>
        </row>
        <row r="95">
          <cell r="B95" t="str">
            <v>SL/1/202605/000153</v>
          </cell>
        </row>
        <row r="96">
          <cell r="B96" t="str">
            <v>SL/1/202605/000154</v>
          </cell>
        </row>
        <row r="97">
          <cell r="B97" t="str">
            <v>SL/1/202605/000155</v>
          </cell>
        </row>
        <row r="98">
          <cell r="B98" t="str">
            <v>SL/1/202605/0001552</v>
          </cell>
        </row>
        <row r="99">
          <cell r="B99" t="str">
            <v>SL/1/202605/000157</v>
          </cell>
        </row>
        <row r="100">
          <cell r="B100" t="str">
            <v>SL/1/202605/000158</v>
          </cell>
        </row>
        <row r="101">
          <cell r="B101" t="str">
            <v>SL/1/202605/000159</v>
          </cell>
        </row>
        <row r="102">
          <cell r="B102" t="str">
            <v>SL/1/202605/000160</v>
          </cell>
        </row>
        <row r="103">
          <cell r="B103" t="str">
            <v>SL/1/202605/000161</v>
          </cell>
        </row>
        <row r="104">
          <cell r="B104" t="str">
            <v>SL/1/202605/000162</v>
          </cell>
        </row>
        <row r="105">
          <cell r="B105" t="str">
            <v>SL/1/202605/000163</v>
          </cell>
        </row>
        <row r="106">
          <cell r="B106" t="str">
            <v>SL/1/202605/000164</v>
          </cell>
        </row>
        <row r="107">
          <cell r="B107" t="str">
            <v>SL/1/202605/000165</v>
          </cell>
        </row>
        <row r="108">
          <cell r="B108" t="str">
            <v>SL/1/202605/000166</v>
          </cell>
        </row>
        <row r="109">
          <cell r="B109" t="str">
            <v>SL/1/202605/000175</v>
          </cell>
        </row>
        <row r="110">
          <cell r="B110" t="str">
            <v>SL/1/202605/000176</v>
          </cell>
        </row>
        <row r="111">
          <cell r="B111" t="str">
            <v>SL/1/202605/000178</v>
          </cell>
        </row>
        <row r="112">
          <cell r="B112" t="str">
            <v>SL/1/202605/000179</v>
          </cell>
        </row>
        <row r="113">
          <cell r="B113" t="str">
            <v>SL/1/202605/000180</v>
          </cell>
        </row>
        <row r="114">
          <cell r="B114" t="str">
            <v>SL/1/202605/000181</v>
          </cell>
        </row>
        <row r="115">
          <cell r="B115" t="str">
            <v>SL/1/202605/000182</v>
          </cell>
        </row>
        <row r="116">
          <cell r="B116" t="str">
            <v>SL/1/202605/000183</v>
          </cell>
        </row>
        <row r="117">
          <cell r="B117" t="str">
            <v>SL/1/202605/000187</v>
          </cell>
        </row>
        <row r="118">
          <cell r="B118" t="str">
            <v>SL/1/202605/000188</v>
          </cell>
        </row>
        <row r="119">
          <cell r="B119" t="str">
            <v>SL/1/202606-000209</v>
          </cell>
        </row>
        <row r="120">
          <cell r="B120" t="str">
            <v>SL/1/202606/000193</v>
          </cell>
        </row>
        <row r="121">
          <cell r="B121" t="str">
            <v>SL/1/202606/000194</v>
          </cell>
        </row>
        <row r="122">
          <cell r="B122" t="str">
            <v>SL/1/202606/000195</v>
          </cell>
        </row>
        <row r="123">
          <cell r="B123" t="str">
            <v>SL/1/202606/000196</v>
          </cell>
        </row>
        <row r="124">
          <cell r="B124" t="str">
            <v>SL/1/202606/000197</v>
          </cell>
        </row>
        <row r="125">
          <cell r="B125" t="str">
            <v>SL/1/202606/000213</v>
          </cell>
        </row>
        <row r="126">
          <cell r="B126" t="str">
            <v>SL/1/202606/000214</v>
          </cell>
        </row>
        <row r="127">
          <cell r="B127" t="str">
            <v>SL/1/202606/000215</v>
          </cell>
        </row>
        <row r="128">
          <cell r="B128" t="str">
            <v>SL/1/202606/000216</v>
          </cell>
        </row>
        <row r="129">
          <cell r="B129" t="str">
            <v>SL/1/202606/000217</v>
          </cell>
        </row>
        <row r="130">
          <cell r="B130" t="str">
            <v>SL/1/202606/000219</v>
          </cell>
        </row>
        <row r="131">
          <cell r="B131" t="str">
            <v>SL/1/202606/000220</v>
          </cell>
        </row>
        <row r="132">
          <cell r="B132" t="str">
            <v>SL/1/202606/000221</v>
          </cell>
        </row>
        <row r="133">
          <cell r="B133" t="str">
            <v>SL/1/202606/000224</v>
          </cell>
        </row>
        <row r="134">
          <cell r="B134" t="str">
            <v>SL/1/202606/000225</v>
          </cell>
        </row>
        <row r="135">
          <cell r="B135" t="str">
            <v>SL/1/202606/000226</v>
          </cell>
        </row>
        <row r="136">
          <cell r="B136" t="str">
            <v>SL/1/202606/000227</v>
          </cell>
        </row>
        <row r="137">
          <cell r="B137" t="str">
            <v>SL/1/202606/000228</v>
          </cell>
        </row>
        <row r="138">
          <cell r="B138" t="str">
            <v>SL/1/202606/000229</v>
          </cell>
        </row>
        <row r="139">
          <cell r="B139" t="str">
            <v>SL/1/202606/000230</v>
          </cell>
        </row>
        <row r="140">
          <cell r="B140" t="str">
            <v>SL/1/202606/000231</v>
          </cell>
        </row>
        <row r="141">
          <cell r="B141" t="str">
            <v>SL/1/202606/000232</v>
          </cell>
        </row>
        <row r="142">
          <cell r="B142" t="str">
            <v>SL/1/202606/000233</v>
          </cell>
        </row>
        <row r="143">
          <cell r="B143" t="str">
            <v>SL/1/202606/000234</v>
          </cell>
        </row>
        <row r="144">
          <cell r="B144" t="str">
            <v>SL/1/202606/000235</v>
          </cell>
        </row>
        <row r="145">
          <cell r="B145" t="str">
            <v>SL/1/202606/000236</v>
          </cell>
        </row>
        <row r="146">
          <cell r="B146" t="str">
            <v>SL/1/202606/000237</v>
          </cell>
        </row>
        <row r="147">
          <cell r="B147" t="str">
            <v>SL/1/202606/000238</v>
          </cell>
        </row>
        <row r="148">
          <cell r="B148" t="str">
            <v>SL/1/202606/000239</v>
          </cell>
        </row>
        <row r="149">
          <cell r="B149" t="str">
            <v>SL/1/202606/000240</v>
          </cell>
        </row>
        <row r="150">
          <cell r="B150" t="str">
            <v>SL/1/202606/000241</v>
          </cell>
        </row>
        <row r="151">
          <cell r="B151" t="str">
            <v>SL/1/202606/000242</v>
          </cell>
        </row>
        <row r="152">
          <cell r="B152" t="str">
            <v>SL/1/202606/000243</v>
          </cell>
        </row>
        <row r="153">
          <cell r="B153" t="str">
            <v>SL/1/202606/000244</v>
          </cell>
        </row>
        <row r="154">
          <cell r="B154" t="str">
            <v>SL/1/202606/000246</v>
          </cell>
        </row>
        <row r="155">
          <cell r="B155" t="str">
            <v>SL/1/202606/000247</v>
          </cell>
        </row>
        <row r="156">
          <cell r="B156" t="str">
            <v>SL/1/202606/000248</v>
          </cell>
        </row>
        <row r="157">
          <cell r="B157" t="str">
            <v>SL/1/202606/000249</v>
          </cell>
        </row>
        <row r="158">
          <cell r="B158" t="str">
            <v>SL/1/202606/000250</v>
          </cell>
        </row>
        <row r="159">
          <cell r="B159" t="str">
            <v>SL/1/202606/000251</v>
          </cell>
        </row>
        <row r="160">
          <cell r="B160" t="str">
            <v>SL/1/202606/000252</v>
          </cell>
        </row>
        <row r="161">
          <cell r="B161" t="str">
            <v>SL/1/202606/000254</v>
          </cell>
        </row>
        <row r="162">
          <cell r="B162" t="str">
            <v>SL/1/202606/000257</v>
          </cell>
        </row>
        <row r="163">
          <cell r="B163" t="str">
            <v>SL/1/202607/000262</v>
          </cell>
        </row>
        <row r="164">
          <cell r="B164" t="str">
            <v>SL/1/202607/000263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4655-33E5-4244-ABF7-CCC4C7FA95A3}">
  <sheetPr>
    <pageSetUpPr fitToPage="1"/>
  </sheetPr>
  <dimension ref="A1:AG32"/>
  <sheetViews>
    <sheetView view="pageBreakPreview" zoomScale="60" zoomScaleNormal="100" workbookViewId="0">
      <selection activeCell="O10" sqref="O10"/>
    </sheetView>
  </sheetViews>
  <sheetFormatPr defaultRowHeight="14.4" x14ac:dyDescent="0.3"/>
  <cols>
    <col min="2" max="2" width="25.5546875" bestFit="1" customWidth="1"/>
    <col min="3" max="3" width="22.33203125" bestFit="1" customWidth="1"/>
    <col min="4" max="4" width="24.109375" bestFit="1" customWidth="1"/>
    <col min="5" max="5" width="17.21875" bestFit="1" customWidth="1"/>
    <col min="6" max="6" width="11" bestFit="1" customWidth="1"/>
    <col min="7" max="7" width="13.109375" bestFit="1" customWidth="1"/>
    <col min="8" max="8" width="13.33203125" bestFit="1" customWidth="1"/>
    <col min="9" max="9" width="24.88671875" hidden="1" customWidth="1"/>
    <col min="10" max="10" width="18" hidden="1" customWidth="1"/>
    <col min="11" max="11" width="10.88671875" bestFit="1" customWidth="1"/>
    <col min="12" max="12" width="12" bestFit="1" customWidth="1"/>
    <col min="13" max="13" width="16.6640625" bestFit="1" customWidth="1"/>
    <col min="14" max="14" width="14.109375" bestFit="1" customWidth="1"/>
    <col min="15" max="15" width="15.77734375" bestFit="1" customWidth="1"/>
    <col min="16" max="16" width="5.6640625" hidden="1" customWidth="1"/>
    <col min="17" max="17" width="15.88671875" hidden="1" customWidth="1"/>
    <col min="18" max="18" width="9.5546875" bestFit="1" customWidth="1"/>
    <col min="19" max="19" width="13.33203125" bestFit="1" customWidth="1"/>
    <col min="20" max="20" width="18.6640625" hidden="1" customWidth="1"/>
    <col min="21" max="21" width="13.88671875" hidden="1" customWidth="1"/>
    <col min="22" max="22" width="14" bestFit="1" customWidth="1"/>
    <col min="23" max="23" width="14.6640625" bestFit="1" customWidth="1"/>
    <col min="24" max="24" width="29.77734375" bestFit="1" customWidth="1"/>
    <col min="25" max="25" width="15.88671875" hidden="1" customWidth="1"/>
    <col min="26" max="26" width="14.77734375" hidden="1" customWidth="1"/>
    <col min="27" max="27" width="15" bestFit="1" customWidth="1"/>
    <col min="28" max="28" width="22.109375" bestFit="1" customWidth="1"/>
    <col min="29" max="29" width="14.44140625" bestFit="1" customWidth="1"/>
    <col min="30" max="30" width="6.5546875" hidden="1" customWidth="1"/>
    <col min="31" max="31" width="9.77734375" hidden="1" customWidth="1"/>
    <col min="32" max="32" width="15.6640625" hidden="1" customWidth="1"/>
    <col min="33" max="33" width="8.33203125" bestFit="1" customWidth="1"/>
  </cols>
  <sheetData>
    <row r="1" spans="1:3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x14ac:dyDescent="0.3">
      <c r="A2" s="3"/>
      <c r="B2" s="4" t="s">
        <v>49</v>
      </c>
      <c r="C2" s="5">
        <v>46138</v>
      </c>
      <c r="D2" s="6">
        <v>46245.640706018516</v>
      </c>
      <c r="E2" s="4" t="s">
        <v>33</v>
      </c>
      <c r="F2" s="4" t="s">
        <v>34</v>
      </c>
      <c r="G2" s="7">
        <v>2472.5</v>
      </c>
      <c r="H2" s="7">
        <v>2472.5</v>
      </c>
      <c r="I2" s="7">
        <v>0</v>
      </c>
      <c r="J2" s="7">
        <v>0</v>
      </c>
      <c r="K2" s="4" t="s">
        <v>35</v>
      </c>
      <c r="L2" s="4" t="s">
        <v>36</v>
      </c>
      <c r="M2" s="4" t="s">
        <v>45</v>
      </c>
      <c r="N2" s="4" t="s">
        <v>46</v>
      </c>
      <c r="O2" s="4" t="s">
        <v>47</v>
      </c>
      <c r="P2" s="8">
        <v>0</v>
      </c>
      <c r="Q2" s="3"/>
      <c r="R2" s="4" t="s">
        <v>38</v>
      </c>
      <c r="S2" s="4" t="s">
        <v>39</v>
      </c>
      <c r="T2" s="3"/>
      <c r="U2" s="3"/>
      <c r="V2" s="4" t="s">
        <v>40</v>
      </c>
      <c r="W2" s="4" t="s">
        <v>41</v>
      </c>
      <c r="X2" s="4" t="s">
        <v>48</v>
      </c>
      <c r="Y2" s="3"/>
      <c r="Z2" s="3"/>
      <c r="AA2" s="4" t="s">
        <v>42</v>
      </c>
      <c r="AB2" s="4" t="s">
        <v>43</v>
      </c>
      <c r="AC2" s="4" t="s">
        <v>50</v>
      </c>
      <c r="AD2" s="3"/>
      <c r="AE2" s="3"/>
      <c r="AF2" s="3"/>
      <c r="AG2" s="4" t="s">
        <v>44</v>
      </c>
    </row>
    <row r="3" spans="1:33" x14ac:dyDescent="0.3">
      <c r="A3" s="3"/>
      <c r="B3" s="4" t="s">
        <v>51</v>
      </c>
      <c r="C3" s="5">
        <v>46139</v>
      </c>
      <c r="D3" s="6">
        <v>46273.397175925929</v>
      </c>
      <c r="E3" s="4" t="s">
        <v>33</v>
      </c>
      <c r="F3" s="4" t="s">
        <v>34</v>
      </c>
      <c r="G3" s="7">
        <v>2133.25</v>
      </c>
      <c r="H3" s="7">
        <v>2133.25</v>
      </c>
      <c r="I3" s="7">
        <v>0</v>
      </c>
      <c r="J3" s="7">
        <v>0</v>
      </c>
      <c r="K3" s="4" t="s">
        <v>35</v>
      </c>
      <c r="L3" s="4" t="s">
        <v>36</v>
      </c>
      <c r="M3" s="4" t="s">
        <v>45</v>
      </c>
      <c r="N3" s="4" t="s">
        <v>46</v>
      </c>
      <c r="O3" s="4" t="s">
        <v>52</v>
      </c>
      <c r="P3" s="8">
        <v>0</v>
      </c>
      <c r="Q3" s="3"/>
      <c r="R3" s="4" t="s">
        <v>38</v>
      </c>
      <c r="S3" s="4" t="s">
        <v>39</v>
      </c>
      <c r="T3" s="3"/>
      <c r="U3" s="3"/>
      <c r="V3" s="4" t="s">
        <v>40</v>
      </c>
      <c r="W3" s="4" t="s">
        <v>41</v>
      </c>
      <c r="X3" s="3"/>
      <c r="Y3" s="3"/>
      <c r="Z3" s="3"/>
      <c r="AA3" s="4" t="s">
        <v>53</v>
      </c>
      <c r="AB3" s="4" t="s">
        <v>43</v>
      </c>
      <c r="AC3" s="4" t="s">
        <v>54</v>
      </c>
      <c r="AD3" s="3"/>
      <c r="AE3" s="3"/>
      <c r="AF3" s="3"/>
      <c r="AG3" s="4" t="s">
        <v>44</v>
      </c>
    </row>
    <row r="4" spans="1:33" x14ac:dyDescent="0.3">
      <c r="A4" s="3"/>
      <c r="B4" s="4" t="s">
        <v>55</v>
      </c>
      <c r="C4" s="5">
        <v>46181</v>
      </c>
      <c r="D4" s="6">
        <v>46273.482372685183</v>
      </c>
      <c r="E4" s="4" t="s">
        <v>33</v>
      </c>
      <c r="F4" s="4" t="s">
        <v>34</v>
      </c>
      <c r="G4" s="7">
        <v>575</v>
      </c>
      <c r="H4" s="7">
        <v>575</v>
      </c>
      <c r="I4" s="7">
        <v>0</v>
      </c>
      <c r="J4" s="7">
        <v>0</v>
      </c>
      <c r="K4" s="4" t="s">
        <v>35</v>
      </c>
      <c r="L4" s="4" t="s">
        <v>36</v>
      </c>
      <c r="M4" s="4" t="s">
        <v>45</v>
      </c>
      <c r="N4" s="4" t="s">
        <v>46</v>
      </c>
      <c r="O4" s="4" t="s">
        <v>52</v>
      </c>
      <c r="P4" s="8">
        <v>0</v>
      </c>
      <c r="Q4" s="3"/>
      <c r="R4" s="4" t="s">
        <v>38</v>
      </c>
      <c r="S4" s="4" t="s">
        <v>39</v>
      </c>
      <c r="T4" s="3"/>
      <c r="U4" s="3"/>
      <c r="V4" s="4" t="s">
        <v>40</v>
      </c>
      <c r="W4" s="4" t="s">
        <v>41</v>
      </c>
      <c r="X4" s="4" t="s">
        <v>48</v>
      </c>
      <c r="Y4" s="3"/>
      <c r="Z4" s="3"/>
      <c r="AA4" s="4" t="s">
        <v>53</v>
      </c>
      <c r="AB4" s="4" t="s">
        <v>43</v>
      </c>
      <c r="AC4" s="4" t="s">
        <v>56</v>
      </c>
      <c r="AD4" s="3"/>
      <c r="AE4" s="3"/>
      <c r="AF4" s="3"/>
      <c r="AG4" s="4" t="s">
        <v>44</v>
      </c>
    </row>
    <row r="5" spans="1:33" x14ac:dyDescent="0.3">
      <c r="A5" s="3"/>
      <c r="B5" s="4" t="s">
        <v>57</v>
      </c>
      <c r="C5" s="5">
        <v>46184</v>
      </c>
      <c r="D5" s="6">
        <v>46273.390219907407</v>
      </c>
      <c r="E5" s="4" t="s">
        <v>33</v>
      </c>
      <c r="F5" s="4" t="s">
        <v>34</v>
      </c>
      <c r="G5" s="7">
        <v>1035</v>
      </c>
      <c r="H5" s="7">
        <v>1035</v>
      </c>
      <c r="I5" s="7">
        <v>0</v>
      </c>
      <c r="J5" s="7">
        <v>0</v>
      </c>
      <c r="K5" s="4" t="s">
        <v>35</v>
      </c>
      <c r="L5" s="4" t="s">
        <v>36</v>
      </c>
      <c r="M5" s="4" t="s">
        <v>45</v>
      </c>
      <c r="N5" s="4" t="s">
        <v>46</v>
      </c>
      <c r="O5" s="4" t="s">
        <v>52</v>
      </c>
      <c r="P5" s="8">
        <v>0</v>
      </c>
      <c r="Q5" s="3"/>
      <c r="R5" s="4" t="s">
        <v>38</v>
      </c>
      <c r="S5" s="4" t="s">
        <v>39</v>
      </c>
      <c r="T5" s="3"/>
      <c r="U5" s="3"/>
      <c r="V5" s="4" t="s">
        <v>40</v>
      </c>
      <c r="W5" s="4" t="s">
        <v>41</v>
      </c>
      <c r="X5" s="3"/>
      <c r="Y5" s="3"/>
      <c r="Z5" s="3"/>
      <c r="AA5" s="4" t="s">
        <v>53</v>
      </c>
      <c r="AB5" s="4" t="s">
        <v>43</v>
      </c>
      <c r="AC5" s="4" t="s">
        <v>58</v>
      </c>
      <c r="AD5" s="3"/>
      <c r="AE5" s="3"/>
      <c r="AF5" s="3"/>
      <c r="AG5" s="4" t="s">
        <v>44</v>
      </c>
    </row>
    <row r="6" spans="1:33" x14ac:dyDescent="0.3">
      <c r="A6" s="3"/>
      <c r="B6" s="4" t="s">
        <v>60</v>
      </c>
      <c r="C6" s="5">
        <v>46188</v>
      </c>
      <c r="D6" s="6">
        <v>46245.704479166663</v>
      </c>
      <c r="E6" s="4" t="s">
        <v>33</v>
      </c>
      <c r="F6" s="4" t="s">
        <v>34</v>
      </c>
      <c r="G6" s="7">
        <v>805</v>
      </c>
      <c r="H6" s="7">
        <v>805</v>
      </c>
      <c r="I6" s="7">
        <v>0</v>
      </c>
      <c r="J6" s="7">
        <v>0</v>
      </c>
      <c r="K6" s="4" t="s">
        <v>35</v>
      </c>
      <c r="L6" s="4" t="s">
        <v>36</v>
      </c>
      <c r="M6" s="4" t="s">
        <v>45</v>
      </c>
      <c r="N6" s="4" t="s">
        <v>46</v>
      </c>
      <c r="O6" s="4" t="s">
        <v>47</v>
      </c>
      <c r="P6" s="8">
        <v>0</v>
      </c>
      <c r="Q6" s="3"/>
      <c r="R6" s="4" t="s">
        <v>38</v>
      </c>
      <c r="S6" s="4" t="s">
        <v>39</v>
      </c>
      <c r="T6" s="3"/>
      <c r="U6" s="3"/>
      <c r="V6" s="4" t="s">
        <v>40</v>
      </c>
      <c r="W6" s="4" t="s">
        <v>41</v>
      </c>
      <c r="X6" s="4" t="s">
        <v>48</v>
      </c>
      <c r="Y6" s="3"/>
      <c r="Z6" s="3"/>
      <c r="AA6" s="4" t="s">
        <v>42</v>
      </c>
      <c r="AB6" s="4" t="s">
        <v>43</v>
      </c>
      <c r="AC6" s="4" t="s">
        <v>61</v>
      </c>
      <c r="AD6" s="3"/>
      <c r="AE6" s="3"/>
      <c r="AF6" s="3"/>
      <c r="AG6" s="4" t="s">
        <v>44</v>
      </c>
    </row>
    <row r="7" spans="1:33" x14ac:dyDescent="0.3">
      <c r="A7" s="3"/>
      <c r="B7" s="4" t="s">
        <v>62</v>
      </c>
      <c r="C7" s="5">
        <v>46188</v>
      </c>
      <c r="D7" s="6">
        <v>46247.403553240743</v>
      </c>
      <c r="E7" s="4" t="s">
        <v>33</v>
      </c>
      <c r="F7" s="4" t="s">
        <v>34</v>
      </c>
      <c r="G7" s="7">
        <v>805</v>
      </c>
      <c r="H7" s="7">
        <v>805</v>
      </c>
      <c r="I7" s="7">
        <v>0</v>
      </c>
      <c r="J7" s="7">
        <v>0</v>
      </c>
      <c r="K7" s="4" t="s">
        <v>35</v>
      </c>
      <c r="L7" s="4" t="s">
        <v>36</v>
      </c>
      <c r="M7" s="4" t="s">
        <v>45</v>
      </c>
      <c r="N7" s="4" t="s">
        <v>46</v>
      </c>
      <c r="O7" s="4" t="s">
        <v>47</v>
      </c>
      <c r="P7" s="8">
        <v>0</v>
      </c>
      <c r="Q7" s="3"/>
      <c r="R7" s="4" t="s">
        <v>38</v>
      </c>
      <c r="S7" s="4" t="s">
        <v>39</v>
      </c>
      <c r="T7" s="3"/>
      <c r="U7" s="3"/>
      <c r="V7" s="4" t="s">
        <v>40</v>
      </c>
      <c r="W7" s="4" t="s">
        <v>41</v>
      </c>
      <c r="X7" s="4" t="s">
        <v>48</v>
      </c>
      <c r="Y7" s="3"/>
      <c r="Z7" s="3"/>
      <c r="AA7" s="4" t="s">
        <v>42</v>
      </c>
      <c r="AB7" s="4" t="s">
        <v>43</v>
      </c>
      <c r="AC7" s="4" t="s">
        <v>63</v>
      </c>
      <c r="AD7" s="3"/>
      <c r="AE7" s="3"/>
      <c r="AF7" s="3"/>
      <c r="AG7" s="4" t="s">
        <v>44</v>
      </c>
    </row>
    <row r="8" spans="1:33" x14ac:dyDescent="0.3">
      <c r="A8" s="3"/>
      <c r="B8" s="4" t="s">
        <v>64</v>
      </c>
      <c r="C8" s="5">
        <v>46158</v>
      </c>
      <c r="D8" s="6">
        <v>46247.406412037039</v>
      </c>
      <c r="E8" s="4" t="s">
        <v>33</v>
      </c>
      <c r="F8" s="4" t="s">
        <v>34</v>
      </c>
      <c r="G8" s="7">
        <v>2702.5</v>
      </c>
      <c r="H8" s="7">
        <v>2702.5</v>
      </c>
      <c r="I8" s="7">
        <v>0</v>
      </c>
      <c r="J8" s="7">
        <v>0</v>
      </c>
      <c r="K8" s="4" t="s">
        <v>35</v>
      </c>
      <c r="L8" s="4" t="s">
        <v>36</v>
      </c>
      <c r="M8" s="4" t="s">
        <v>45</v>
      </c>
      <c r="N8" s="4" t="s">
        <v>46</v>
      </c>
      <c r="O8" s="4" t="s">
        <v>47</v>
      </c>
      <c r="P8" s="8">
        <v>0</v>
      </c>
      <c r="Q8" s="3"/>
      <c r="R8" s="4" t="s">
        <v>38</v>
      </c>
      <c r="S8" s="4" t="s">
        <v>39</v>
      </c>
      <c r="T8" s="3"/>
      <c r="U8" s="3"/>
      <c r="V8" s="4" t="s">
        <v>40</v>
      </c>
      <c r="W8" s="4" t="s">
        <v>41</v>
      </c>
      <c r="X8" s="4" t="s">
        <v>48</v>
      </c>
      <c r="Y8" s="3"/>
      <c r="Z8" s="3"/>
      <c r="AA8" s="4" t="s">
        <v>42</v>
      </c>
      <c r="AB8" s="4" t="s">
        <v>43</v>
      </c>
      <c r="AC8" s="4" t="s">
        <v>65</v>
      </c>
      <c r="AD8" s="3"/>
      <c r="AE8" s="3"/>
      <c r="AF8" s="3"/>
      <c r="AG8" s="4" t="s">
        <v>44</v>
      </c>
    </row>
    <row r="9" spans="1:33" x14ac:dyDescent="0.3">
      <c r="A9" s="3"/>
      <c r="B9" s="4" t="s">
        <v>66</v>
      </c>
      <c r="C9" s="5">
        <v>46189</v>
      </c>
      <c r="D9" s="6">
        <v>46246.374976851854</v>
      </c>
      <c r="E9" s="4" t="s">
        <v>33</v>
      </c>
      <c r="F9" s="4" t="s">
        <v>34</v>
      </c>
      <c r="G9" s="7">
        <v>805</v>
      </c>
      <c r="H9" s="7">
        <v>805</v>
      </c>
      <c r="I9" s="7">
        <v>0</v>
      </c>
      <c r="J9" s="7">
        <v>0</v>
      </c>
      <c r="K9" s="4" t="s">
        <v>35</v>
      </c>
      <c r="L9" s="4" t="s">
        <v>36</v>
      </c>
      <c r="M9" s="4" t="s">
        <v>45</v>
      </c>
      <c r="N9" s="4" t="s">
        <v>46</v>
      </c>
      <c r="O9" s="4" t="s">
        <v>47</v>
      </c>
      <c r="P9" s="8">
        <v>0</v>
      </c>
      <c r="Q9" s="3"/>
      <c r="R9" s="4" t="s">
        <v>38</v>
      </c>
      <c r="S9" s="4" t="s">
        <v>39</v>
      </c>
      <c r="T9" s="3"/>
      <c r="U9" s="3"/>
      <c r="V9" s="4" t="s">
        <v>40</v>
      </c>
      <c r="W9" s="4" t="s">
        <v>41</v>
      </c>
      <c r="X9" s="4" t="s">
        <v>48</v>
      </c>
      <c r="Y9" s="3"/>
      <c r="Z9" s="3"/>
      <c r="AA9" s="4" t="s">
        <v>42</v>
      </c>
      <c r="AB9" s="4" t="s">
        <v>43</v>
      </c>
      <c r="AC9" s="4" t="s">
        <v>67</v>
      </c>
      <c r="AD9" s="3"/>
      <c r="AE9" s="3"/>
      <c r="AF9" s="3"/>
      <c r="AG9" s="4" t="s">
        <v>44</v>
      </c>
    </row>
    <row r="10" spans="1:33" x14ac:dyDescent="0.3">
      <c r="A10" s="3"/>
      <c r="B10" s="4" t="s">
        <v>68</v>
      </c>
      <c r="C10" s="5">
        <v>46190</v>
      </c>
      <c r="D10" s="6">
        <v>46211.581273148149</v>
      </c>
      <c r="E10" s="4" t="s">
        <v>33</v>
      </c>
      <c r="F10" s="4" t="s">
        <v>34</v>
      </c>
      <c r="G10" s="7">
        <v>1725</v>
      </c>
      <c r="H10" s="7">
        <v>1725</v>
      </c>
      <c r="I10" s="7">
        <v>0</v>
      </c>
      <c r="J10" s="7">
        <v>0</v>
      </c>
      <c r="K10" s="4" t="s">
        <v>35</v>
      </c>
      <c r="L10" s="4" t="s">
        <v>36</v>
      </c>
      <c r="M10" s="4" t="s">
        <v>45</v>
      </c>
      <c r="N10" s="4" t="s">
        <v>46</v>
      </c>
      <c r="O10" s="4" t="s">
        <v>47</v>
      </c>
      <c r="P10" s="8">
        <v>0</v>
      </c>
      <c r="Q10" s="3"/>
      <c r="R10" s="4" t="s">
        <v>38</v>
      </c>
      <c r="S10" s="4" t="s">
        <v>39</v>
      </c>
      <c r="T10" s="3"/>
      <c r="U10" s="3"/>
      <c r="V10" s="4" t="s">
        <v>40</v>
      </c>
      <c r="W10" s="4" t="s">
        <v>41</v>
      </c>
      <c r="X10" s="4" t="s">
        <v>48</v>
      </c>
      <c r="Y10" s="3"/>
      <c r="Z10" s="3"/>
      <c r="AA10" s="4" t="s">
        <v>42</v>
      </c>
      <c r="AB10" s="4" t="s">
        <v>43</v>
      </c>
      <c r="AC10" s="4" t="s">
        <v>69</v>
      </c>
      <c r="AD10" s="3"/>
      <c r="AE10" s="3"/>
      <c r="AF10" s="3"/>
      <c r="AG10" s="4" t="s">
        <v>44</v>
      </c>
    </row>
    <row r="11" spans="1:33" x14ac:dyDescent="0.3">
      <c r="A11" s="3"/>
      <c r="B11" s="4" t="s">
        <v>70</v>
      </c>
      <c r="C11" s="5">
        <v>46190</v>
      </c>
      <c r="D11" s="6">
        <v>46211.585358796299</v>
      </c>
      <c r="E11" s="4" t="s">
        <v>33</v>
      </c>
      <c r="F11" s="4" t="s">
        <v>34</v>
      </c>
      <c r="G11" s="7">
        <v>1495</v>
      </c>
      <c r="H11" s="7">
        <v>1495</v>
      </c>
      <c r="I11" s="7">
        <v>0</v>
      </c>
      <c r="J11" s="7">
        <v>0</v>
      </c>
      <c r="K11" s="4" t="s">
        <v>35</v>
      </c>
      <c r="L11" s="4" t="s">
        <v>36</v>
      </c>
      <c r="M11" s="4" t="s">
        <v>45</v>
      </c>
      <c r="N11" s="4" t="s">
        <v>46</v>
      </c>
      <c r="O11" s="4" t="s">
        <v>47</v>
      </c>
      <c r="P11" s="8">
        <v>0</v>
      </c>
      <c r="Q11" s="3"/>
      <c r="R11" s="4" t="s">
        <v>38</v>
      </c>
      <c r="S11" s="4" t="s">
        <v>39</v>
      </c>
      <c r="T11" s="3"/>
      <c r="U11" s="3"/>
      <c r="V11" s="4" t="s">
        <v>40</v>
      </c>
      <c r="W11" s="4" t="s">
        <v>41</v>
      </c>
      <c r="X11" s="4" t="s">
        <v>48</v>
      </c>
      <c r="Y11" s="3"/>
      <c r="Z11" s="3"/>
      <c r="AA11" s="4" t="s">
        <v>42</v>
      </c>
      <c r="AB11" s="4" t="s">
        <v>43</v>
      </c>
      <c r="AC11" s="4" t="s">
        <v>71</v>
      </c>
      <c r="AD11" s="3"/>
      <c r="AE11" s="3"/>
      <c r="AF11" s="3"/>
      <c r="AG11" s="4" t="s">
        <v>44</v>
      </c>
    </row>
    <row r="12" spans="1:33" x14ac:dyDescent="0.3">
      <c r="A12" s="3"/>
      <c r="B12" s="4" t="s">
        <v>72</v>
      </c>
      <c r="C12" s="5">
        <v>46190</v>
      </c>
      <c r="D12" s="6">
        <v>46211.604745370372</v>
      </c>
      <c r="E12" s="4" t="s">
        <v>33</v>
      </c>
      <c r="F12" s="4" t="s">
        <v>34</v>
      </c>
      <c r="G12" s="7">
        <v>1495</v>
      </c>
      <c r="H12" s="7">
        <v>1495</v>
      </c>
      <c r="I12" s="7">
        <v>0</v>
      </c>
      <c r="J12" s="7">
        <v>0</v>
      </c>
      <c r="K12" s="4" t="s">
        <v>35</v>
      </c>
      <c r="L12" s="4" t="s">
        <v>36</v>
      </c>
      <c r="M12" s="4" t="s">
        <v>45</v>
      </c>
      <c r="N12" s="4" t="s">
        <v>46</v>
      </c>
      <c r="O12" s="4" t="s">
        <v>47</v>
      </c>
      <c r="P12" s="8">
        <v>0</v>
      </c>
      <c r="Q12" s="3"/>
      <c r="R12" s="4" t="s">
        <v>38</v>
      </c>
      <c r="S12" s="4" t="s">
        <v>39</v>
      </c>
      <c r="T12" s="3"/>
      <c r="U12" s="3"/>
      <c r="V12" s="4" t="s">
        <v>40</v>
      </c>
      <c r="W12" s="4" t="s">
        <v>41</v>
      </c>
      <c r="X12" s="4" t="s">
        <v>48</v>
      </c>
      <c r="Y12" s="3"/>
      <c r="Z12" s="3"/>
      <c r="AA12" s="4" t="s">
        <v>42</v>
      </c>
      <c r="AB12" s="4" t="s">
        <v>43</v>
      </c>
      <c r="AC12" s="4" t="s">
        <v>73</v>
      </c>
      <c r="AD12" s="3"/>
      <c r="AE12" s="3"/>
      <c r="AF12" s="3"/>
      <c r="AG12" s="4" t="s">
        <v>44</v>
      </c>
    </row>
    <row r="13" spans="1:33" x14ac:dyDescent="0.3">
      <c r="A13" s="3"/>
      <c r="B13" s="4" t="s">
        <v>74</v>
      </c>
      <c r="C13" s="5">
        <v>46190</v>
      </c>
      <c r="D13" s="6">
        <v>46246.409988425927</v>
      </c>
      <c r="E13" s="4" t="s">
        <v>33</v>
      </c>
      <c r="F13" s="4" t="s">
        <v>34</v>
      </c>
      <c r="G13" s="7">
        <v>575</v>
      </c>
      <c r="H13" s="7">
        <v>575</v>
      </c>
      <c r="I13" s="7">
        <v>0</v>
      </c>
      <c r="J13" s="7">
        <v>0</v>
      </c>
      <c r="K13" s="4" t="s">
        <v>35</v>
      </c>
      <c r="L13" s="4" t="s">
        <v>36</v>
      </c>
      <c r="M13" s="4" t="s">
        <v>45</v>
      </c>
      <c r="N13" s="4" t="s">
        <v>46</v>
      </c>
      <c r="O13" s="4" t="s">
        <v>47</v>
      </c>
      <c r="P13" s="8">
        <v>0</v>
      </c>
      <c r="Q13" s="3"/>
      <c r="R13" s="4" t="s">
        <v>38</v>
      </c>
      <c r="S13" s="4" t="s">
        <v>39</v>
      </c>
      <c r="T13" s="3"/>
      <c r="U13" s="3"/>
      <c r="V13" s="4" t="s">
        <v>40</v>
      </c>
      <c r="W13" s="4" t="s">
        <v>41</v>
      </c>
      <c r="X13" s="4" t="s">
        <v>48</v>
      </c>
      <c r="Y13" s="3"/>
      <c r="Z13" s="3"/>
      <c r="AA13" s="4" t="s">
        <v>42</v>
      </c>
      <c r="AB13" s="4" t="s">
        <v>43</v>
      </c>
      <c r="AC13" s="4" t="s">
        <v>75</v>
      </c>
      <c r="AD13" s="3"/>
      <c r="AE13" s="3"/>
      <c r="AF13" s="3"/>
      <c r="AG13" s="4" t="s">
        <v>44</v>
      </c>
    </row>
    <row r="14" spans="1:33" x14ac:dyDescent="0.3">
      <c r="A14" s="3"/>
      <c r="B14" s="4" t="s">
        <v>76</v>
      </c>
      <c r="C14" s="5">
        <v>46191</v>
      </c>
      <c r="D14" s="6">
        <v>46211.61645833333</v>
      </c>
      <c r="E14" s="4" t="s">
        <v>33</v>
      </c>
      <c r="F14" s="4" t="s">
        <v>34</v>
      </c>
      <c r="G14" s="7">
        <v>575</v>
      </c>
      <c r="H14" s="7">
        <v>575</v>
      </c>
      <c r="I14" s="7">
        <v>0</v>
      </c>
      <c r="J14" s="7">
        <v>0</v>
      </c>
      <c r="K14" s="4" t="s">
        <v>35</v>
      </c>
      <c r="L14" s="4" t="s">
        <v>36</v>
      </c>
      <c r="M14" s="4" t="s">
        <v>45</v>
      </c>
      <c r="N14" s="4" t="s">
        <v>46</v>
      </c>
      <c r="O14" s="4" t="s">
        <v>47</v>
      </c>
      <c r="P14" s="8">
        <v>0</v>
      </c>
      <c r="Q14" s="3"/>
      <c r="R14" s="4" t="s">
        <v>38</v>
      </c>
      <c r="S14" s="4" t="s">
        <v>39</v>
      </c>
      <c r="T14" s="3"/>
      <c r="U14" s="3"/>
      <c r="V14" s="4" t="s">
        <v>40</v>
      </c>
      <c r="W14" s="4" t="s">
        <v>41</v>
      </c>
      <c r="X14" s="4" t="s">
        <v>48</v>
      </c>
      <c r="Y14" s="3"/>
      <c r="Z14" s="3"/>
      <c r="AA14" s="4" t="s">
        <v>42</v>
      </c>
      <c r="AB14" s="4" t="s">
        <v>43</v>
      </c>
      <c r="AC14" s="4" t="s">
        <v>77</v>
      </c>
      <c r="AD14" s="3"/>
      <c r="AE14" s="3"/>
      <c r="AF14" s="3"/>
      <c r="AG14" s="4" t="s">
        <v>44</v>
      </c>
    </row>
    <row r="15" spans="1:33" x14ac:dyDescent="0.3">
      <c r="A15" s="3"/>
      <c r="B15" s="4" t="s">
        <v>78</v>
      </c>
      <c r="C15" s="5">
        <v>46195</v>
      </c>
      <c r="D15" s="6">
        <v>46273.370810185188</v>
      </c>
      <c r="E15" s="4" t="s">
        <v>33</v>
      </c>
      <c r="F15" s="4" t="s">
        <v>34</v>
      </c>
      <c r="G15" s="7">
        <v>575</v>
      </c>
      <c r="H15" s="7">
        <v>575</v>
      </c>
      <c r="I15" s="7">
        <v>0</v>
      </c>
      <c r="J15" s="7">
        <v>0</v>
      </c>
      <c r="K15" s="4" t="s">
        <v>35</v>
      </c>
      <c r="L15" s="4" t="s">
        <v>36</v>
      </c>
      <c r="M15" s="4" t="s">
        <v>37</v>
      </c>
      <c r="N15" s="4" t="s">
        <v>46</v>
      </c>
      <c r="O15" s="4" t="s">
        <v>52</v>
      </c>
      <c r="P15" s="8">
        <v>0</v>
      </c>
      <c r="Q15" s="3"/>
      <c r="R15" s="4" t="s">
        <v>38</v>
      </c>
      <c r="S15" s="4" t="s">
        <v>39</v>
      </c>
      <c r="T15" s="3"/>
      <c r="U15" s="3"/>
      <c r="V15" s="4" t="s">
        <v>40</v>
      </c>
      <c r="W15" s="4" t="s">
        <v>41</v>
      </c>
      <c r="X15" s="4" t="s">
        <v>48</v>
      </c>
      <c r="Y15" s="3"/>
      <c r="Z15" s="3"/>
      <c r="AA15" s="4" t="s">
        <v>53</v>
      </c>
      <c r="AB15" s="4" t="s">
        <v>43</v>
      </c>
      <c r="AC15" s="4" t="s">
        <v>79</v>
      </c>
      <c r="AD15" s="3"/>
      <c r="AE15" s="3"/>
      <c r="AF15" s="3"/>
      <c r="AG15" s="4" t="s">
        <v>44</v>
      </c>
    </row>
    <row r="16" spans="1:33" x14ac:dyDescent="0.3">
      <c r="A16" s="3"/>
      <c r="B16" s="4" t="s">
        <v>80</v>
      </c>
      <c r="C16" s="5">
        <v>46193</v>
      </c>
      <c r="D16" s="6">
        <v>46211.621689814812</v>
      </c>
      <c r="E16" s="4" t="s">
        <v>33</v>
      </c>
      <c r="F16" s="4" t="s">
        <v>34</v>
      </c>
      <c r="G16" s="7">
        <v>2541.5</v>
      </c>
      <c r="H16" s="7">
        <v>2541.5</v>
      </c>
      <c r="I16" s="7">
        <v>0</v>
      </c>
      <c r="J16" s="7">
        <v>0</v>
      </c>
      <c r="K16" s="4" t="s">
        <v>35</v>
      </c>
      <c r="L16" s="4" t="s">
        <v>36</v>
      </c>
      <c r="M16" s="4" t="s">
        <v>45</v>
      </c>
      <c r="N16" s="4" t="s">
        <v>46</v>
      </c>
      <c r="O16" s="4" t="s">
        <v>47</v>
      </c>
      <c r="P16" s="8">
        <v>0</v>
      </c>
      <c r="Q16" s="3"/>
      <c r="R16" s="4" t="s">
        <v>38</v>
      </c>
      <c r="S16" s="4" t="s">
        <v>39</v>
      </c>
      <c r="T16" s="3"/>
      <c r="U16" s="3"/>
      <c r="V16" s="4" t="s">
        <v>40</v>
      </c>
      <c r="W16" s="4" t="s">
        <v>41</v>
      </c>
      <c r="X16" s="4" t="s">
        <v>48</v>
      </c>
      <c r="Y16" s="3"/>
      <c r="Z16" s="3"/>
      <c r="AA16" s="4" t="s">
        <v>42</v>
      </c>
      <c r="AB16" s="4" t="s">
        <v>43</v>
      </c>
      <c r="AC16" s="4" t="s">
        <v>81</v>
      </c>
      <c r="AD16" s="3"/>
      <c r="AE16" s="3"/>
      <c r="AF16" s="3"/>
      <c r="AG16" s="4" t="s">
        <v>44</v>
      </c>
    </row>
    <row r="17" spans="1:33" x14ac:dyDescent="0.3">
      <c r="A17" s="3"/>
      <c r="B17" s="4" t="s">
        <v>82</v>
      </c>
      <c r="C17" s="5">
        <v>46194</v>
      </c>
      <c r="D17" s="6">
        <v>46211.626793981479</v>
      </c>
      <c r="E17" s="4" t="s">
        <v>33</v>
      </c>
      <c r="F17" s="4" t="s">
        <v>34</v>
      </c>
      <c r="G17" s="7">
        <v>1495</v>
      </c>
      <c r="H17" s="7">
        <v>1495</v>
      </c>
      <c r="I17" s="7">
        <v>0</v>
      </c>
      <c r="J17" s="7">
        <v>0</v>
      </c>
      <c r="K17" s="4" t="s">
        <v>35</v>
      </c>
      <c r="L17" s="4" t="s">
        <v>36</v>
      </c>
      <c r="M17" s="4" t="s">
        <v>45</v>
      </c>
      <c r="N17" s="4" t="s">
        <v>46</v>
      </c>
      <c r="O17" s="4" t="s">
        <v>47</v>
      </c>
      <c r="P17" s="8">
        <v>0</v>
      </c>
      <c r="Q17" s="3"/>
      <c r="R17" s="4" t="s">
        <v>38</v>
      </c>
      <c r="S17" s="4" t="s">
        <v>39</v>
      </c>
      <c r="T17" s="3"/>
      <c r="U17" s="3"/>
      <c r="V17" s="4" t="s">
        <v>40</v>
      </c>
      <c r="W17" s="4" t="s">
        <v>41</v>
      </c>
      <c r="X17" s="4" t="s">
        <v>48</v>
      </c>
      <c r="Y17" s="3"/>
      <c r="Z17" s="3"/>
      <c r="AA17" s="4" t="s">
        <v>42</v>
      </c>
      <c r="AB17" s="4" t="s">
        <v>43</v>
      </c>
      <c r="AC17" s="4" t="s">
        <v>83</v>
      </c>
      <c r="AD17" s="3"/>
      <c r="AE17" s="3"/>
      <c r="AF17" s="3"/>
      <c r="AG17" s="4" t="s">
        <v>44</v>
      </c>
    </row>
    <row r="18" spans="1:33" x14ac:dyDescent="0.3">
      <c r="A18" s="3"/>
      <c r="B18" s="4" t="s">
        <v>84</v>
      </c>
      <c r="C18" s="5">
        <v>46194</v>
      </c>
      <c r="D18" s="6">
        <v>46211.635011574072</v>
      </c>
      <c r="E18" s="4" t="s">
        <v>33</v>
      </c>
      <c r="F18" s="4" t="s">
        <v>34</v>
      </c>
      <c r="G18" s="7">
        <v>2541.5</v>
      </c>
      <c r="H18" s="7">
        <v>2541.5</v>
      </c>
      <c r="I18" s="7">
        <v>0</v>
      </c>
      <c r="J18" s="7">
        <v>0</v>
      </c>
      <c r="K18" s="4" t="s">
        <v>35</v>
      </c>
      <c r="L18" s="4" t="s">
        <v>36</v>
      </c>
      <c r="M18" s="4" t="s">
        <v>45</v>
      </c>
      <c r="N18" s="4" t="s">
        <v>46</v>
      </c>
      <c r="O18" s="4" t="s">
        <v>47</v>
      </c>
      <c r="P18" s="8">
        <v>0</v>
      </c>
      <c r="Q18" s="3"/>
      <c r="R18" s="4" t="s">
        <v>38</v>
      </c>
      <c r="S18" s="4" t="s">
        <v>39</v>
      </c>
      <c r="T18" s="3"/>
      <c r="U18" s="3"/>
      <c r="V18" s="4" t="s">
        <v>40</v>
      </c>
      <c r="W18" s="4" t="s">
        <v>41</v>
      </c>
      <c r="X18" s="4" t="s">
        <v>48</v>
      </c>
      <c r="Y18" s="3"/>
      <c r="Z18" s="3"/>
      <c r="AA18" s="4" t="s">
        <v>42</v>
      </c>
      <c r="AB18" s="4" t="s">
        <v>43</v>
      </c>
      <c r="AC18" s="4" t="s">
        <v>85</v>
      </c>
      <c r="AD18" s="3"/>
      <c r="AE18" s="3"/>
      <c r="AF18" s="3"/>
      <c r="AG18" s="4" t="s">
        <v>44</v>
      </c>
    </row>
    <row r="19" spans="1:33" x14ac:dyDescent="0.3">
      <c r="A19" s="3"/>
      <c r="B19" s="4" t="s">
        <v>86</v>
      </c>
      <c r="C19" s="5">
        <v>46195</v>
      </c>
      <c r="D19" s="6">
        <v>46212.604733796295</v>
      </c>
      <c r="E19" s="4" t="s">
        <v>33</v>
      </c>
      <c r="F19" s="4" t="s">
        <v>34</v>
      </c>
      <c r="G19" s="7">
        <v>1495</v>
      </c>
      <c r="H19" s="7">
        <v>1495</v>
      </c>
      <c r="I19" s="7">
        <v>0</v>
      </c>
      <c r="J19" s="7">
        <v>0</v>
      </c>
      <c r="K19" s="4" t="s">
        <v>35</v>
      </c>
      <c r="L19" s="4" t="s">
        <v>36</v>
      </c>
      <c r="M19" s="4" t="s">
        <v>45</v>
      </c>
      <c r="N19" s="4" t="s">
        <v>46</v>
      </c>
      <c r="O19" s="4" t="s">
        <v>47</v>
      </c>
      <c r="P19" s="8">
        <v>0</v>
      </c>
      <c r="Q19" s="3"/>
      <c r="R19" s="4" t="s">
        <v>38</v>
      </c>
      <c r="S19" s="4" t="s">
        <v>39</v>
      </c>
      <c r="T19" s="3"/>
      <c r="U19" s="3"/>
      <c r="V19" s="4" t="s">
        <v>40</v>
      </c>
      <c r="W19" s="4" t="s">
        <v>41</v>
      </c>
      <c r="X19" s="4" t="s">
        <v>48</v>
      </c>
      <c r="Y19" s="3"/>
      <c r="Z19" s="3"/>
      <c r="AA19" s="4" t="s">
        <v>42</v>
      </c>
      <c r="AB19" s="4" t="s">
        <v>43</v>
      </c>
      <c r="AC19" s="4" t="s">
        <v>87</v>
      </c>
      <c r="AD19" s="3"/>
      <c r="AE19" s="3"/>
      <c r="AF19" s="3"/>
      <c r="AG19" s="4" t="s">
        <v>44</v>
      </c>
    </row>
    <row r="20" spans="1:33" x14ac:dyDescent="0.3">
      <c r="A20" s="3"/>
      <c r="B20" s="4" t="s">
        <v>88</v>
      </c>
      <c r="C20" s="5">
        <v>46196</v>
      </c>
      <c r="D20" s="6">
        <v>46217.418078703704</v>
      </c>
      <c r="E20" s="4" t="s">
        <v>33</v>
      </c>
      <c r="F20" s="4" t="s">
        <v>34</v>
      </c>
      <c r="G20" s="7">
        <v>2932.5</v>
      </c>
      <c r="H20" s="7">
        <v>2932.5</v>
      </c>
      <c r="I20" s="7">
        <v>0</v>
      </c>
      <c r="J20" s="7">
        <v>0</v>
      </c>
      <c r="K20" s="4" t="s">
        <v>35</v>
      </c>
      <c r="L20" s="4" t="s">
        <v>36</v>
      </c>
      <c r="M20" s="4" t="s">
        <v>45</v>
      </c>
      <c r="N20" s="4" t="s">
        <v>46</v>
      </c>
      <c r="O20" s="4" t="s">
        <v>47</v>
      </c>
      <c r="P20" s="8">
        <v>0</v>
      </c>
      <c r="Q20" s="3"/>
      <c r="R20" s="4" t="s">
        <v>38</v>
      </c>
      <c r="S20" s="4" t="s">
        <v>39</v>
      </c>
      <c r="T20" s="3"/>
      <c r="U20" s="3"/>
      <c r="V20" s="4" t="s">
        <v>40</v>
      </c>
      <c r="W20" s="4" t="s">
        <v>41</v>
      </c>
      <c r="X20" s="4" t="s">
        <v>48</v>
      </c>
      <c r="Y20" s="3"/>
      <c r="Z20" s="3"/>
      <c r="AA20" s="4" t="s">
        <v>42</v>
      </c>
      <c r="AB20" s="4" t="s">
        <v>43</v>
      </c>
      <c r="AC20" s="4" t="s">
        <v>89</v>
      </c>
      <c r="AD20" s="3"/>
      <c r="AE20" s="3"/>
      <c r="AF20" s="3"/>
      <c r="AG20" s="4" t="s">
        <v>44</v>
      </c>
    </row>
    <row r="21" spans="1:33" x14ac:dyDescent="0.3">
      <c r="A21" s="3"/>
      <c r="B21" s="4" t="s">
        <v>90</v>
      </c>
      <c r="C21" s="5">
        <v>46197</v>
      </c>
      <c r="D21" s="6">
        <v>46217.492743055554</v>
      </c>
      <c r="E21" s="4" t="s">
        <v>33</v>
      </c>
      <c r="F21" s="4" t="s">
        <v>34</v>
      </c>
      <c r="G21" s="7">
        <v>2541.5</v>
      </c>
      <c r="H21" s="7">
        <v>2541.5</v>
      </c>
      <c r="I21" s="7">
        <v>0</v>
      </c>
      <c r="J21" s="7">
        <v>0</v>
      </c>
      <c r="K21" s="4" t="s">
        <v>35</v>
      </c>
      <c r="L21" s="4" t="s">
        <v>36</v>
      </c>
      <c r="M21" s="4" t="s">
        <v>45</v>
      </c>
      <c r="N21" s="4" t="s">
        <v>46</v>
      </c>
      <c r="O21" s="4" t="s">
        <v>47</v>
      </c>
      <c r="P21" s="8">
        <v>0</v>
      </c>
      <c r="Q21" s="3"/>
      <c r="R21" s="4" t="s">
        <v>38</v>
      </c>
      <c r="S21" s="4" t="s">
        <v>39</v>
      </c>
      <c r="T21" s="3"/>
      <c r="U21" s="3"/>
      <c r="V21" s="4" t="s">
        <v>40</v>
      </c>
      <c r="W21" s="4" t="s">
        <v>41</v>
      </c>
      <c r="X21" s="4" t="s">
        <v>48</v>
      </c>
      <c r="Y21" s="3"/>
      <c r="Z21" s="3"/>
      <c r="AA21" s="4" t="s">
        <v>42</v>
      </c>
      <c r="AB21" s="4" t="s">
        <v>43</v>
      </c>
      <c r="AC21" s="4" t="s">
        <v>91</v>
      </c>
      <c r="AD21" s="3"/>
      <c r="AE21" s="3"/>
      <c r="AF21" s="3"/>
      <c r="AG21" s="4" t="s">
        <v>44</v>
      </c>
    </row>
    <row r="22" spans="1:33" x14ac:dyDescent="0.3">
      <c r="A22" s="3"/>
      <c r="B22" s="4" t="s">
        <v>92</v>
      </c>
      <c r="C22" s="5">
        <v>46194</v>
      </c>
      <c r="D22" s="6">
        <v>46273.368020833332</v>
      </c>
      <c r="E22" s="4" t="s">
        <v>33</v>
      </c>
      <c r="F22" s="4" t="s">
        <v>34</v>
      </c>
      <c r="G22" s="7">
        <v>575</v>
      </c>
      <c r="H22" s="7">
        <v>575</v>
      </c>
      <c r="I22" s="7">
        <v>0</v>
      </c>
      <c r="J22" s="7">
        <v>0</v>
      </c>
      <c r="K22" s="4" t="s">
        <v>35</v>
      </c>
      <c r="L22" s="4" t="s">
        <v>36</v>
      </c>
      <c r="M22" s="4" t="s">
        <v>37</v>
      </c>
      <c r="N22" s="4" t="s">
        <v>46</v>
      </c>
      <c r="O22" s="4" t="s">
        <v>52</v>
      </c>
      <c r="P22" s="8">
        <v>0</v>
      </c>
      <c r="Q22" s="3"/>
      <c r="R22" s="4" t="s">
        <v>38</v>
      </c>
      <c r="S22" s="4" t="s">
        <v>39</v>
      </c>
      <c r="T22" s="3"/>
      <c r="U22" s="3"/>
      <c r="V22" s="4" t="s">
        <v>40</v>
      </c>
      <c r="W22" s="4" t="s">
        <v>41</v>
      </c>
      <c r="X22" s="4" t="s">
        <v>48</v>
      </c>
      <c r="Y22" s="3"/>
      <c r="Z22" s="3"/>
      <c r="AA22" s="4" t="s">
        <v>53</v>
      </c>
      <c r="AB22" s="4" t="s">
        <v>43</v>
      </c>
      <c r="AC22" s="4" t="s">
        <v>93</v>
      </c>
      <c r="AD22" s="3"/>
      <c r="AE22" s="3"/>
      <c r="AF22" s="3"/>
      <c r="AG22" s="4" t="s">
        <v>44</v>
      </c>
    </row>
    <row r="23" spans="1:33" x14ac:dyDescent="0.3">
      <c r="A23" s="3"/>
      <c r="B23" s="4" t="s">
        <v>94</v>
      </c>
      <c r="C23" s="5">
        <v>46191</v>
      </c>
      <c r="D23" s="6">
        <v>46246.424363425926</v>
      </c>
      <c r="E23" s="4" t="s">
        <v>33</v>
      </c>
      <c r="F23" s="4" t="s">
        <v>34</v>
      </c>
      <c r="G23" s="7">
        <v>575</v>
      </c>
      <c r="H23" s="7">
        <v>575</v>
      </c>
      <c r="I23" s="7">
        <v>0</v>
      </c>
      <c r="J23" s="7">
        <v>0</v>
      </c>
      <c r="K23" s="4" t="s">
        <v>35</v>
      </c>
      <c r="L23" s="4" t="s">
        <v>36</v>
      </c>
      <c r="M23" s="4" t="s">
        <v>45</v>
      </c>
      <c r="N23" s="4" t="s">
        <v>46</v>
      </c>
      <c r="O23" s="4" t="s">
        <v>47</v>
      </c>
      <c r="P23" s="8">
        <v>0</v>
      </c>
      <c r="Q23" s="3"/>
      <c r="R23" s="4" t="s">
        <v>38</v>
      </c>
      <c r="S23" s="4" t="s">
        <v>39</v>
      </c>
      <c r="T23" s="3"/>
      <c r="U23" s="3"/>
      <c r="V23" s="4" t="s">
        <v>40</v>
      </c>
      <c r="W23" s="4" t="s">
        <v>41</v>
      </c>
      <c r="X23" s="4" t="s">
        <v>48</v>
      </c>
      <c r="Y23" s="3"/>
      <c r="Z23" s="3"/>
      <c r="AA23" s="4" t="s">
        <v>42</v>
      </c>
      <c r="AB23" s="4" t="s">
        <v>43</v>
      </c>
      <c r="AC23" s="4" t="s">
        <v>95</v>
      </c>
      <c r="AD23" s="3"/>
      <c r="AE23" s="3"/>
      <c r="AF23" s="3"/>
      <c r="AG23" s="4" t="s">
        <v>44</v>
      </c>
    </row>
    <row r="24" spans="1:33" x14ac:dyDescent="0.3">
      <c r="A24" s="3"/>
      <c r="B24" s="4" t="s">
        <v>96</v>
      </c>
      <c r="C24" s="5">
        <v>46196</v>
      </c>
      <c r="D24" s="6">
        <v>46273.368020833332</v>
      </c>
      <c r="E24" s="4" t="s">
        <v>33</v>
      </c>
      <c r="F24" s="4" t="s">
        <v>34</v>
      </c>
      <c r="G24" s="7">
        <v>805</v>
      </c>
      <c r="H24" s="7">
        <v>805</v>
      </c>
      <c r="I24" s="7">
        <v>0</v>
      </c>
      <c r="J24" s="7">
        <v>0</v>
      </c>
      <c r="K24" s="4" t="s">
        <v>35</v>
      </c>
      <c r="L24" s="4" t="s">
        <v>36</v>
      </c>
      <c r="M24" s="4" t="s">
        <v>37</v>
      </c>
      <c r="N24" s="4" t="s">
        <v>46</v>
      </c>
      <c r="O24" s="4" t="s">
        <v>52</v>
      </c>
      <c r="P24" s="8">
        <v>0</v>
      </c>
      <c r="Q24" s="3"/>
      <c r="R24" s="4" t="s">
        <v>38</v>
      </c>
      <c r="S24" s="4" t="s">
        <v>39</v>
      </c>
      <c r="T24" s="3"/>
      <c r="U24" s="3"/>
      <c r="V24" s="4" t="s">
        <v>40</v>
      </c>
      <c r="W24" s="4" t="s">
        <v>41</v>
      </c>
      <c r="X24" s="4" t="s">
        <v>48</v>
      </c>
      <c r="Y24" s="3"/>
      <c r="Z24" s="3"/>
      <c r="AA24" s="4" t="s">
        <v>53</v>
      </c>
      <c r="AB24" s="4" t="s">
        <v>43</v>
      </c>
      <c r="AC24" s="4" t="s">
        <v>97</v>
      </c>
      <c r="AD24" s="3"/>
      <c r="AE24" s="3"/>
      <c r="AF24" s="3"/>
      <c r="AG24" s="4" t="s">
        <v>44</v>
      </c>
    </row>
    <row r="25" spans="1:33" x14ac:dyDescent="0.3">
      <c r="A25" s="3"/>
      <c r="B25" s="4" t="s">
        <v>98</v>
      </c>
      <c r="C25" s="5">
        <v>46197</v>
      </c>
      <c r="D25" s="6">
        <v>46273.368020833332</v>
      </c>
      <c r="E25" s="4" t="s">
        <v>33</v>
      </c>
      <c r="F25" s="4" t="s">
        <v>34</v>
      </c>
      <c r="G25" s="7">
        <v>575</v>
      </c>
      <c r="H25" s="7">
        <v>575</v>
      </c>
      <c r="I25" s="7">
        <v>0</v>
      </c>
      <c r="J25" s="7">
        <v>0</v>
      </c>
      <c r="K25" s="4" t="s">
        <v>35</v>
      </c>
      <c r="L25" s="4" t="s">
        <v>36</v>
      </c>
      <c r="M25" s="4" t="s">
        <v>37</v>
      </c>
      <c r="N25" s="4" t="s">
        <v>46</v>
      </c>
      <c r="O25" s="4" t="s">
        <v>52</v>
      </c>
      <c r="P25" s="8">
        <v>0</v>
      </c>
      <c r="Q25" s="3"/>
      <c r="R25" s="4" t="s">
        <v>38</v>
      </c>
      <c r="S25" s="4" t="s">
        <v>39</v>
      </c>
      <c r="T25" s="3"/>
      <c r="U25" s="3"/>
      <c r="V25" s="4" t="s">
        <v>40</v>
      </c>
      <c r="W25" s="4" t="s">
        <v>41</v>
      </c>
      <c r="X25" s="4" t="s">
        <v>48</v>
      </c>
      <c r="Y25" s="3"/>
      <c r="Z25" s="3"/>
      <c r="AA25" s="4" t="s">
        <v>53</v>
      </c>
      <c r="AB25" s="4" t="s">
        <v>43</v>
      </c>
      <c r="AC25" s="4" t="s">
        <v>99</v>
      </c>
      <c r="AD25" s="3"/>
      <c r="AE25" s="3"/>
      <c r="AF25" s="3"/>
      <c r="AG25" s="4" t="s">
        <v>44</v>
      </c>
    </row>
    <row r="26" spans="1:33" x14ac:dyDescent="0.3">
      <c r="A26" s="3"/>
      <c r="B26" s="4" t="s">
        <v>100</v>
      </c>
      <c r="C26" s="5">
        <v>46198</v>
      </c>
      <c r="D26" s="6">
        <v>46217.484189814815</v>
      </c>
      <c r="E26" s="4" t="s">
        <v>33</v>
      </c>
      <c r="F26" s="4" t="s">
        <v>34</v>
      </c>
      <c r="G26" s="7">
        <v>575</v>
      </c>
      <c r="H26" s="7">
        <v>575</v>
      </c>
      <c r="I26" s="7">
        <v>0</v>
      </c>
      <c r="J26" s="7">
        <v>0</v>
      </c>
      <c r="K26" s="4" t="s">
        <v>35</v>
      </c>
      <c r="L26" s="4" t="s">
        <v>36</v>
      </c>
      <c r="M26" s="4" t="s">
        <v>45</v>
      </c>
      <c r="N26" s="4" t="s">
        <v>46</v>
      </c>
      <c r="O26" s="4" t="s">
        <v>47</v>
      </c>
      <c r="P26" s="8">
        <v>0</v>
      </c>
      <c r="Q26" s="3"/>
      <c r="R26" s="4" t="s">
        <v>38</v>
      </c>
      <c r="S26" s="4" t="s">
        <v>39</v>
      </c>
      <c r="T26" s="3"/>
      <c r="U26" s="3"/>
      <c r="V26" s="4" t="s">
        <v>40</v>
      </c>
      <c r="W26" s="4" t="s">
        <v>41</v>
      </c>
      <c r="X26" s="4" t="s">
        <v>48</v>
      </c>
      <c r="Y26" s="3"/>
      <c r="Z26" s="3"/>
      <c r="AA26" s="4" t="s">
        <v>42</v>
      </c>
      <c r="AB26" s="4" t="s">
        <v>43</v>
      </c>
      <c r="AC26" s="4" t="s">
        <v>101</v>
      </c>
      <c r="AD26" s="3"/>
      <c r="AE26" s="3"/>
      <c r="AF26" s="3"/>
      <c r="AG26" s="4" t="s">
        <v>44</v>
      </c>
    </row>
    <row r="27" spans="1:33" x14ac:dyDescent="0.3">
      <c r="A27" s="3"/>
      <c r="B27" s="4" t="s">
        <v>102</v>
      </c>
      <c r="C27" s="5">
        <v>46202</v>
      </c>
      <c r="D27" s="6">
        <v>46273.368020833332</v>
      </c>
      <c r="E27" s="4" t="s">
        <v>33</v>
      </c>
      <c r="F27" s="4" t="s">
        <v>34</v>
      </c>
      <c r="G27" s="7">
        <v>805</v>
      </c>
      <c r="H27" s="7">
        <v>805</v>
      </c>
      <c r="I27" s="7">
        <v>0</v>
      </c>
      <c r="J27" s="7">
        <v>0</v>
      </c>
      <c r="K27" s="4" t="s">
        <v>35</v>
      </c>
      <c r="L27" s="4" t="s">
        <v>36</v>
      </c>
      <c r="M27" s="4" t="s">
        <v>37</v>
      </c>
      <c r="N27" s="4" t="s">
        <v>46</v>
      </c>
      <c r="O27" s="4" t="s">
        <v>52</v>
      </c>
      <c r="P27" s="8">
        <v>0</v>
      </c>
      <c r="Q27" s="3"/>
      <c r="R27" s="4" t="s">
        <v>38</v>
      </c>
      <c r="S27" s="4" t="s">
        <v>39</v>
      </c>
      <c r="T27" s="3"/>
      <c r="U27" s="3"/>
      <c r="V27" s="4" t="s">
        <v>40</v>
      </c>
      <c r="W27" s="4" t="s">
        <v>41</v>
      </c>
      <c r="X27" s="4" t="s">
        <v>48</v>
      </c>
      <c r="Y27" s="3"/>
      <c r="Z27" s="3"/>
      <c r="AA27" s="4" t="s">
        <v>53</v>
      </c>
      <c r="AB27" s="4" t="s">
        <v>43</v>
      </c>
      <c r="AC27" s="4" t="s">
        <v>103</v>
      </c>
      <c r="AD27" s="3"/>
      <c r="AE27" s="3"/>
      <c r="AF27" s="3"/>
      <c r="AG27" s="4" t="s">
        <v>44</v>
      </c>
    </row>
    <row r="28" spans="1:33" x14ac:dyDescent="0.3">
      <c r="A28" s="3"/>
      <c r="B28" s="4" t="s">
        <v>104</v>
      </c>
      <c r="C28" s="5">
        <v>46197</v>
      </c>
      <c r="D28" s="6">
        <v>46217.422488425924</v>
      </c>
      <c r="E28" s="4" t="s">
        <v>33</v>
      </c>
      <c r="F28" s="4" t="s">
        <v>34</v>
      </c>
      <c r="G28" s="7">
        <v>575</v>
      </c>
      <c r="H28" s="7">
        <v>575</v>
      </c>
      <c r="I28" s="7">
        <v>0</v>
      </c>
      <c r="J28" s="7">
        <v>0</v>
      </c>
      <c r="K28" s="4" t="s">
        <v>35</v>
      </c>
      <c r="L28" s="4" t="s">
        <v>36</v>
      </c>
      <c r="M28" s="4" t="s">
        <v>45</v>
      </c>
      <c r="N28" s="4" t="s">
        <v>46</v>
      </c>
      <c r="O28" s="4" t="s">
        <v>47</v>
      </c>
      <c r="P28" s="8">
        <v>0</v>
      </c>
      <c r="Q28" s="3"/>
      <c r="R28" s="4" t="s">
        <v>38</v>
      </c>
      <c r="S28" s="4" t="s">
        <v>39</v>
      </c>
      <c r="T28" s="3"/>
      <c r="U28" s="3"/>
      <c r="V28" s="4" t="s">
        <v>40</v>
      </c>
      <c r="W28" s="4" t="s">
        <v>41</v>
      </c>
      <c r="X28" s="4" t="s">
        <v>48</v>
      </c>
      <c r="Y28" s="3"/>
      <c r="Z28" s="3"/>
      <c r="AA28" s="4" t="s">
        <v>42</v>
      </c>
      <c r="AB28" s="4" t="s">
        <v>43</v>
      </c>
      <c r="AC28" s="4" t="s">
        <v>105</v>
      </c>
      <c r="AD28" s="3"/>
      <c r="AE28" s="3"/>
      <c r="AF28" s="3"/>
      <c r="AG28" s="4" t="s">
        <v>44</v>
      </c>
    </row>
    <row r="29" spans="1:33" ht="15" thickBot="1" x14ac:dyDescent="0.35">
      <c r="A29" s="3"/>
      <c r="B29" s="4" t="s">
        <v>106</v>
      </c>
      <c r="C29" s="5">
        <v>46202</v>
      </c>
      <c r="D29" s="6">
        <v>46217.397326388891</v>
      </c>
      <c r="E29" s="4" t="s">
        <v>33</v>
      </c>
      <c r="F29" s="4" t="s">
        <v>34</v>
      </c>
      <c r="G29" s="7">
        <v>575</v>
      </c>
      <c r="H29" s="7">
        <v>575</v>
      </c>
      <c r="I29" s="7">
        <v>0</v>
      </c>
      <c r="J29" s="7">
        <v>0</v>
      </c>
      <c r="K29" s="4" t="s">
        <v>35</v>
      </c>
      <c r="L29" s="4" t="s">
        <v>36</v>
      </c>
      <c r="M29" s="4" t="s">
        <v>45</v>
      </c>
      <c r="N29" s="4" t="s">
        <v>46</v>
      </c>
      <c r="O29" s="4" t="s">
        <v>47</v>
      </c>
      <c r="P29" s="8">
        <v>0</v>
      </c>
      <c r="Q29" s="3"/>
      <c r="R29" s="4" t="s">
        <v>38</v>
      </c>
      <c r="S29" s="4" t="s">
        <v>39</v>
      </c>
      <c r="T29" s="3"/>
      <c r="U29" s="3"/>
      <c r="V29" s="4" t="s">
        <v>40</v>
      </c>
      <c r="W29" s="4" t="s">
        <v>41</v>
      </c>
      <c r="X29" s="4" t="s">
        <v>48</v>
      </c>
      <c r="Y29" s="3"/>
      <c r="Z29" s="3"/>
      <c r="AA29" s="4" t="s">
        <v>42</v>
      </c>
      <c r="AB29" s="4" t="s">
        <v>43</v>
      </c>
      <c r="AC29" s="4" t="s">
        <v>107</v>
      </c>
      <c r="AD29" s="3"/>
      <c r="AE29" s="3"/>
      <c r="AF29" s="3"/>
      <c r="AG29" s="4" t="s">
        <v>44</v>
      </c>
    </row>
    <row r="30" spans="1:33" x14ac:dyDescent="0.3">
      <c r="F30" s="10" t="s">
        <v>108</v>
      </c>
      <c r="G30" s="11">
        <f>SUM(G2:G29)</f>
        <v>36380.25</v>
      </c>
    </row>
    <row r="31" spans="1:33" x14ac:dyDescent="0.3">
      <c r="G31" s="9"/>
    </row>
    <row r="32" spans="1:33" x14ac:dyDescent="0.3">
      <c r="G32" s="9"/>
    </row>
  </sheetData>
  <autoFilter ref="A1:AG29" xr:uid="{4B3B4655-33E5-4244-ABF7-CCC4C7FA95A3}"/>
  <pageMargins left="0.75" right="0.75" top="1" bottom="1" header="0.5" footer="0.5"/>
  <pageSetup paperSize="9" scale="38" fitToHeight="9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FECD-7AAA-40F4-AB03-09EAA2F02896}">
  <sheetPr>
    <pageSetUpPr fitToPage="1"/>
  </sheetPr>
  <dimension ref="A1:J43"/>
  <sheetViews>
    <sheetView workbookViewId="0">
      <selection activeCell="H1" sqref="A1:H43"/>
    </sheetView>
  </sheetViews>
  <sheetFormatPr defaultRowHeight="14.4" x14ac:dyDescent="0.3"/>
  <cols>
    <col min="1" max="1" width="4.33203125" style="16" bestFit="1" customWidth="1"/>
    <col min="2" max="2" width="11.5546875" style="16" bestFit="1" customWidth="1"/>
    <col min="3" max="3" width="7.6640625" style="16" bestFit="1" customWidth="1"/>
    <col min="4" max="4" width="36.6640625" style="16" bestFit="1" customWidth="1"/>
    <col min="5" max="5" width="11.21875" style="16" bestFit="1" customWidth="1"/>
    <col min="6" max="6" width="11.77734375" style="16" bestFit="1" customWidth="1"/>
    <col min="7" max="7" width="36" style="16" bestFit="1" customWidth="1"/>
    <col min="8" max="8" width="20.21875" style="16" bestFit="1" customWidth="1"/>
    <col min="9" max="9" width="18.109375" style="16" bestFit="1" customWidth="1"/>
    <col min="10" max="10" width="16.77734375" style="16" bestFit="1" customWidth="1"/>
    <col min="11" max="16384" width="8.88671875" style="16"/>
  </cols>
  <sheetData>
    <row r="1" spans="1:10" ht="15.6" x14ac:dyDescent="0.3">
      <c r="A1" s="12" t="s">
        <v>109</v>
      </c>
      <c r="B1" s="13"/>
      <c r="C1" s="13"/>
      <c r="D1" s="13"/>
      <c r="E1" s="13"/>
      <c r="F1" s="13"/>
      <c r="G1" s="13"/>
    </row>
    <row r="2" spans="1:10" ht="15.6" x14ac:dyDescent="0.3">
      <c r="A2" s="15" t="s">
        <v>110</v>
      </c>
      <c r="B2" s="15" t="s">
        <v>111</v>
      </c>
      <c r="C2" s="15" t="s">
        <v>112</v>
      </c>
      <c r="D2" s="15" t="s">
        <v>113</v>
      </c>
      <c r="E2" s="15" t="s">
        <v>114</v>
      </c>
      <c r="F2" s="15" t="s">
        <v>115</v>
      </c>
      <c r="G2" s="15" t="s">
        <v>116</v>
      </c>
      <c r="H2" s="18"/>
      <c r="I2" s="18"/>
      <c r="J2" s="18"/>
    </row>
    <row r="3" spans="1:10" ht="15.6" x14ac:dyDescent="0.3">
      <c r="A3" s="14" t="s">
        <v>117</v>
      </c>
      <c r="B3" s="14" t="s">
        <v>118</v>
      </c>
      <c r="C3" s="14" t="s">
        <v>119</v>
      </c>
      <c r="D3" s="14" t="s">
        <v>120</v>
      </c>
      <c r="E3" s="17">
        <v>575</v>
      </c>
      <c r="F3" s="14" t="s">
        <v>121</v>
      </c>
      <c r="H3" s="14" t="s">
        <v>122</v>
      </c>
      <c r="I3" s="16" t="e">
        <f>VLOOKUP(H3,'[1]Export to Excel'!$B:$B,1,0)</f>
        <v>#N/A</v>
      </c>
      <c r="J3" s="16" t="s">
        <v>123</v>
      </c>
    </row>
    <row r="4" spans="1:10" ht="15.6" x14ac:dyDescent="0.3">
      <c r="A4" s="14" t="s">
        <v>124</v>
      </c>
      <c r="B4" s="14" t="s">
        <v>118</v>
      </c>
      <c r="C4" s="14" t="s">
        <v>119</v>
      </c>
      <c r="D4" s="14" t="s">
        <v>125</v>
      </c>
      <c r="E4" s="17">
        <v>575</v>
      </c>
      <c r="F4" s="14" t="s">
        <v>121</v>
      </c>
      <c r="H4" s="14" t="s">
        <v>126</v>
      </c>
      <c r="I4" s="16" t="e">
        <f>VLOOKUP(H4,'[1]Export to Excel'!$B:$B,1,0)</f>
        <v>#N/A</v>
      </c>
      <c r="J4" s="16" t="s">
        <v>123</v>
      </c>
    </row>
    <row r="5" spans="1:10" ht="15.6" x14ac:dyDescent="0.3">
      <c r="A5" s="14" t="s">
        <v>127</v>
      </c>
      <c r="B5" s="14" t="s">
        <v>128</v>
      </c>
      <c r="C5" s="14" t="s">
        <v>119</v>
      </c>
      <c r="D5" s="14" t="s">
        <v>129</v>
      </c>
      <c r="E5" s="17">
        <v>2133.25</v>
      </c>
      <c r="F5" s="14" t="s">
        <v>121</v>
      </c>
      <c r="G5" s="14" t="s">
        <v>130</v>
      </c>
      <c r="H5" s="14" t="s">
        <v>131</v>
      </c>
      <c r="I5" s="16" t="e">
        <f>VLOOKUP(H5,'[1]Export to Excel'!$B:$B,1,0)</f>
        <v>#N/A</v>
      </c>
      <c r="J5" s="16" t="s">
        <v>123</v>
      </c>
    </row>
    <row r="6" spans="1:10" ht="15.6" x14ac:dyDescent="0.3">
      <c r="A6" s="14" t="s">
        <v>132</v>
      </c>
      <c r="B6" s="14" t="s">
        <v>133</v>
      </c>
      <c r="C6" s="14" t="s">
        <v>119</v>
      </c>
      <c r="D6" s="14" t="s">
        <v>134</v>
      </c>
      <c r="E6" s="17">
        <v>1046.5</v>
      </c>
      <c r="F6" s="14" t="s">
        <v>121</v>
      </c>
      <c r="G6" s="14" t="s">
        <v>135</v>
      </c>
      <c r="H6" s="14" t="s">
        <v>136</v>
      </c>
      <c r="I6" s="16" t="e">
        <f>VLOOKUP(H6,'[1]Export to Excel'!$B:$B,1,0)</f>
        <v>#N/A</v>
      </c>
      <c r="J6" s="16" t="s">
        <v>123</v>
      </c>
    </row>
    <row r="7" spans="1:10" ht="15.6" x14ac:dyDescent="0.3">
      <c r="A7" s="14" t="s">
        <v>137</v>
      </c>
      <c r="B7" s="14" t="s">
        <v>128</v>
      </c>
      <c r="C7" s="14" t="s">
        <v>119</v>
      </c>
      <c r="D7" s="14" t="s">
        <v>138</v>
      </c>
      <c r="E7" s="17">
        <v>2133.25</v>
      </c>
      <c r="F7" s="14" t="s">
        <v>121</v>
      </c>
      <c r="G7" s="14" t="s">
        <v>139</v>
      </c>
      <c r="H7" s="14" t="s">
        <v>140</v>
      </c>
      <c r="I7" s="16" t="e">
        <f>VLOOKUP(H7,'[1]Export to Excel'!$B:$B,1,0)</f>
        <v>#N/A</v>
      </c>
      <c r="J7" s="16" t="s">
        <v>123</v>
      </c>
    </row>
    <row r="8" spans="1:10" ht="15.6" x14ac:dyDescent="0.3">
      <c r="A8" s="14" t="s">
        <v>141</v>
      </c>
      <c r="B8" s="14" t="s">
        <v>142</v>
      </c>
      <c r="C8" s="14" t="s">
        <v>119</v>
      </c>
      <c r="D8" s="14" t="s">
        <v>143</v>
      </c>
      <c r="E8" s="17">
        <v>2472.5</v>
      </c>
      <c r="F8" s="14" t="s">
        <v>121</v>
      </c>
      <c r="G8" s="14" t="s">
        <v>144</v>
      </c>
      <c r="H8" s="14" t="s">
        <v>49</v>
      </c>
      <c r="I8" s="16" t="str">
        <f>VLOOKUP(H8,'[1]Export to Excel'!$B:$B,1,0)</f>
        <v>SL/1/202604/000120</v>
      </c>
    </row>
    <row r="9" spans="1:10" ht="15.6" x14ac:dyDescent="0.3">
      <c r="A9" s="20" t="s">
        <v>145</v>
      </c>
      <c r="B9" s="20" t="s">
        <v>146</v>
      </c>
      <c r="C9" s="20" t="s">
        <v>119</v>
      </c>
      <c r="D9" s="20" t="s">
        <v>147</v>
      </c>
      <c r="E9" s="21">
        <v>2133.25</v>
      </c>
      <c r="F9" s="20" t="s">
        <v>121</v>
      </c>
      <c r="G9" s="20" t="s">
        <v>148</v>
      </c>
      <c r="H9" s="20" t="s">
        <v>51</v>
      </c>
      <c r="I9" s="22" t="e">
        <f>VLOOKUP(H9,'[1]Export to Excel'!$B:$B,1,0)</f>
        <v>#N/A</v>
      </c>
      <c r="J9" s="22" t="s">
        <v>149</v>
      </c>
    </row>
    <row r="10" spans="1:10" ht="15.6" x14ac:dyDescent="0.3">
      <c r="A10" s="20" t="s">
        <v>150</v>
      </c>
      <c r="B10" s="20" t="s">
        <v>128</v>
      </c>
      <c r="C10" s="20" t="s">
        <v>119</v>
      </c>
      <c r="D10" s="20" t="s">
        <v>151</v>
      </c>
      <c r="E10" s="21">
        <v>3501.75</v>
      </c>
      <c r="F10" s="20" t="s">
        <v>121</v>
      </c>
      <c r="G10" s="20" t="s">
        <v>152</v>
      </c>
      <c r="H10" s="20" t="s">
        <v>153</v>
      </c>
      <c r="I10" s="22" t="e">
        <f>VLOOKUP(H10,'[1]Export to Excel'!$B:$B,1,0)</f>
        <v>#N/A</v>
      </c>
      <c r="J10" s="16" t="s">
        <v>123</v>
      </c>
    </row>
    <row r="11" spans="1:10" ht="15.6" x14ac:dyDescent="0.3">
      <c r="A11" s="20" t="s">
        <v>154</v>
      </c>
      <c r="B11" s="20" t="s">
        <v>155</v>
      </c>
      <c r="C11" s="20" t="s">
        <v>119</v>
      </c>
      <c r="D11" s="20" t="s">
        <v>156</v>
      </c>
      <c r="E11" s="21">
        <v>575</v>
      </c>
      <c r="F11" s="20" t="s">
        <v>121</v>
      </c>
      <c r="G11" s="22"/>
      <c r="H11" s="20" t="s">
        <v>55</v>
      </c>
      <c r="I11" s="22" t="e">
        <f>VLOOKUP(H11,'[1]Export to Excel'!$B:$B,1,0)</f>
        <v>#N/A</v>
      </c>
      <c r="J11" s="22" t="s">
        <v>149</v>
      </c>
    </row>
    <row r="12" spans="1:10" ht="15.6" x14ac:dyDescent="0.3">
      <c r="A12" s="20" t="s">
        <v>157</v>
      </c>
      <c r="B12" s="20" t="s">
        <v>158</v>
      </c>
      <c r="C12" s="20" t="s">
        <v>119</v>
      </c>
      <c r="D12" s="20" t="s">
        <v>159</v>
      </c>
      <c r="E12" s="21">
        <v>2127.5</v>
      </c>
      <c r="F12" s="20" t="s">
        <v>121</v>
      </c>
      <c r="G12" s="22"/>
      <c r="H12" s="20" t="s">
        <v>160</v>
      </c>
      <c r="I12" s="22" t="e">
        <f>VLOOKUP(H12,'[1]Export to Excel'!$B:$B,1,0)</f>
        <v>#N/A</v>
      </c>
      <c r="J12" s="16" t="s">
        <v>123</v>
      </c>
    </row>
    <row r="13" spans="1:10" ht="15.6" x14ac:dyDescent="0.3">
      <c r="A13" s="20" t="s">
        <v>161</v>
      </c>
      <c r="B13" s="20" t="s">
        <v>158</v>
      </c>
      <c r="C13" s="20" t="s">
        <v>119</v>
      </c>
      <c r="D13" s="20" t="s">
        <v>162</v>
      </c>
      <c r="E13" s="21">
        <v>6272.1</v>
      </c>
      <c r="F13" s="20" t="s">
        <v>121</v>
      </c>
      <c r="G13" s="22"/>
      <c r="H13" s="20" t="s">
        <v>163</v>
      </c>
      <c r="I13" s="22" t="e">
        <f>VLOOKUP(H13,'[1]Export to Excel'!$B:$B,1,0)</f>
        <v>#N/A</v>
      </c>
      <c r="J13" s="16" t="s">
        <v>123</v>
      </c>
    </row>
    <row r="14" spans="1:10" ht="15.6" x14ac:dyDescent="0.3">
      <c r="A14" s="20" t="s">
        <v>164</v>
      </c>
      <c r="B14" s="20" t="s">
        <v>165</v>
      </c>
      <c r="C14" s="20" t="s">
        <v>119</v>
      </c>
      <c r="D14" s="20" t="s">
        <v>166</v>
      </c>
      <c r="E14" s="21">
        <v>1035</v>
      </c>
      <c r="F14" s="20" t="s">
        <v>121</v>
      </c>
      <c r="G14" s="22"/>
      <c r="H14" s="20" t="s">
        <v>57</v>
      </c>
      <c r="I14" s="22" t="e">
        <f>VLOOKUP(H14,'[1]Export to Excel'!$B:$B,1,0)</f>
        <v>#N/A</v>
      </c>
      <c r="J14" s="22" t="s">
        <v>167</v>
      </c>
    </row>
    <row r="15" spans="1:10" ht="15.6" x14ac:dyDescent="0.3">
      <c r="A15" s="20" t="s">
        <v>168</v>
      </c>
      <c r="B15" s="20" t="s">
        <v>169</v>
      </c>
      <c r="C15" s="20" t="s">
        <v>119</v>
      </c>
      <c r="D15" s="20" t="s">
        <v>170</v>
      </c>
      <c r="E15" s="21">
        <v>575</v>
      </c>
      <c r="F15" s="20" t="s">
        <v>121</v>
      </c>
      <c r="G15" s="22"/>
      <c r="H15" s="20" t="s">
        <v>59</v>
      </c>
      <c r="I15" s="22" t="e">
        <f>VLOOKUP(H15,'[1]Export to Excel'!$B:$B,1,0)</f>
        <v>#N/A</v>
      </c>
      <c r="J15" s="16" t="s">
        <v>123</v>
      </c>
    </row>
    <row r="16" spans="1:10" ht="15.6" x14ac:dyDescent="0.3">
      <c r="A16" s="20" t="s">
        <v>171</v>
      </c>
      <c r="B16" s="20" t="s">
        <v>172</v>
      </c>
      <c r="C16" s="20" t="s">
        <v>119</v>
      </c>
      <c r="D16" s="20" t="s">
        <v>173</v>
      </c>
      <c r="E16" s="21">
        <v>805</v>
      </c>
      <c r="F16" s="20" t="s">
        <v>121</v>
      </c>
      <c r="G16" s="22"/>
      <c r="H16" s="20" t="s">
        <v>60</v>
      </c>
      <c r="I16" s="22" t="str">
        <f>VLOOKUP(H16,'[1]Export to Excel'!$B:$B,1,0)</f>
        <v>SL/1/202606/000231</v>
      </c>
      <c r="J16" s="22"/>
    </row>
    <row r="17" spans="1:10" ht="15.6" x14ac:dyDescent="0.3">
      <c r="A17" s="20" t="s">
        <v>174</v>
      </c>
      <c r="B17" s="20" t="s">
        <v>172</v>
      </c>
      <c r="C17" s="20" t="s">
        <v>119</v>
      </c>
      <c r="D17" s="20" t="s">
        <v>175</v>
      </c>
      <c r="E17" s="21">
        <v>805</v>
      </c>
      <c r="F17" s="20" t="s">
        <v>121</v>
      </c>
      <c r="G17" s="22"/>
      <c r="H17" s="20" t="s">
        <v>62</v>
      </c>
      <c r="I17" s="22" t="str">
        <f>VLOOKUP(H17,'[1]Export to Excel'!$B:$B,1,0)</f>
        <v>SL/1/202606/000232</v>
      </c>
      <c r="J17" s="22"/>
    </row>
    <row r="18" spans="1:10" ht="15.6" x14ac:dyDescent="0.3">
      <c r="A18" s="20" t="s">
        <v>176</v>
      </c>
      <c r="B18" s="20" t="s">
        <v>172</v>
      </c>
      <c r="C18" s="20" t="s">
        <v>119</v>
      </c>
      <c r="D18" s="20" t="s">
        <v>177</v>
      </c>
      <c r="E18" s="21">
        <v>2702.5</v>
      </c>
      <c r="F18" s="20" t="s">
        <v>121</v>
      </c>
      <c r="G18" s="22"/>
      <c r="H18" s="20" t="s">
        <v>64</v>
      </c>
      <c r="I18" s="22" t="str">
        <f>VLOOKUP(H18,'[1]Export to Excel'!$B:$B,1,0)</f>
        <v>SL/1/202606/000233</v>
      </c>
      <c r="J18" s="22"/>
    </row>
    <row r="19" spans="1:10" ht="15.6" x14ac:dyDescent="0.3">
      <c r="A19" s="20" t="s">
        <v>178</v>
      </c>
      <c r="B19" s="20" t="s">
        <v>179</v>
      </c>
      <c r="C19" s="20" t="s">
        <v>119</v>
      </c>
      <c r="D19" s="20" t="s">
        <v>180</v>
      </c>
      <c r="E19" s="21">
        <v>805</v>
      </c>
      <c r="F19" s="20" t="s">
        <v>121</v>
      </c>
      <c r="G19" s="22"/>
      <c r="H19" s="20" t="s">
        <v>66</v>
      </c>
      <c r="I19" s="22" t="str">
        <f>VLOOKUP(H19,'[1]Export to Excel'!$B:$B,1,0)</f>
        <v>SL/1/202606/000235</v>
      </c>
      <c r="J19" s="22"/>
    </row>
    <row r="20" spans="1:10" ht="15.6" x14ac:dyDescent="0.3">
      <c r="A20" s="20" t="s">
        <v>181</v>
      </c>
      <c r="B20" s="20" t="s">
        <v>182</v>
      </c>
      <c r="C20" s="20" t="s">
        <v>119</v>
      </c>
      <c r="D20" s="20" t="s">
        <v>183</v>
      </c>
      <c r="E20" s="21">
        <v>1725</v>
      </c>
      <c r="F20" s="20" t="s">
        <v>121</v>
      </c>
      <c r="G20" s="22"/>
      <c r="H20" s="20" t="s">
        <v>68</v>
      </c>
      <c r="I20" s="22" t="str">
        <f>VLOOKUP(H20,'[1]Export to Excel'!$B:$B,1,0)</f>
        <v>SL/1/202606/000240</v>
      </c>
      <c r="J20" s="22"/>
    </row>
    <row r="21" spans="1:10" ht="15.6" x14ac:dyDescent="0.3">
      <c r="A21" s="20" t="s">
        <v>184</v>
      </c>
      <c r="B21" s="20" t="s">
        <v>182</v>
      </c>
      <c r="C21" s="20" t="s">
        <v>119</v>
      </c>
      <c r="D21" s="20" t="s">
        <v>185</v>
      </c>
      <c r="E21" s="21">
        <v>1495</v>
      </c>
      <c r="F21" s="20" t="s">
        <v>121</v>
      </c>
      <c r="G21" s="22"/>
      <c r="H21" s="20" t="s">
        <v>70</v>
      </c>
      <c r="I21" s="22" t="str">
        <f>VLOOKUP(H21,'[1]Export to Excel'!$B:$B,1,0)</f>
        <v>SL/1/202606/000241</v>
      </c>
      <c r="J21" s="22"/>
    </row>
    <row r="22" spans="1:10" ht="15.6" x14ac:dyDescent="0.3">
      <c r="A22" s="20" t="s">
        <v>186</v>
      </c>
      <c r="B22" s="20" t="s">
        <v>182</v>
      </c>
      <c r="C22" s="20" t="s">
        <v>119</v>
      </c>
      <c r="D22" s="20" t="s">
        <v>187</v>
      </c>
      <c r="E22" s="21">
        <v>1495</v>
      </c>
      <c r="F22" s="20" t="s">
        <v>121</v>
      </c>
      <c r="G22" s="22"/>
      <c r="H22" s="20" t="s">
        <v>72</v>
      </c>
      <c r="I22" s="22" t="str">
        <f>VLOOKUP(H22,'[1]Export to Excel'!$B:$B,1,0)</f>
        <v>SL/1/202606/000242</v>
      </c>
      <c r="J22" s="22"/>
    </row>
    <row r="23" spans="1:10" ht="15.6" x14ac:dyDescent="0.3">
      <c r="A23" s="20" t="s">
        <v>188</v>
      </c>
      <c r="B23" s="20" t="s">
        <v>182</v>
      </c>
      <c r="C23" s="20" t="s">
        <v>119</v>
      </c>
      <c r="D23" s="20" t="s">
        <v>189</v>
      </c>
      <c r="E23" s="21">
        <v>575</v>
      </c>
      <c r="F23" s="20" t="s">
        <v>121</v>
      </c>
      <c r="G23" s="22"/>
      <c r="H23" s="20" t="s">
        <v>74</v>
      </c>
      <c r="I23" s="22" t="str">
        <f>VLOOKUP(H23,'[1]Export to Excel'!$B:$B,1,0)</f>
        <v>SL/1/202606/000243</v>
      </c>
      <c r="J23" s="22"/>
    </row>
    <row r="24" spans="1:10" ht="15.6" x14ac:dyDescent="0.3">
      <c r="A24" s="20" t="s">
        <v>190</v>
      </c>
      <c r="B24" s="20" t="s">
        <v>191</v>
      </c>
      <c r="C24" s="20" t="s">
        <v>119</v>
      </c>
      <c r="D24" s="20" t="s">
        <v>192</v>
      </c>
      <c r="E24" s="21">
        <v>575</v>
      </c>
      <c r="F24" s="20" t="s">
        <v>121</v>
      </c>
      <c r="G24" s="22"/>
      <c r="H24" s="20" t="s">
        <v>76</v>
      </c>
      <c r="I24" s="22" t="str">
        <f>VLOOKUP(H24,'[1]Export to Excel'!$B:$B,1,0)</f>
        <v>SL/1/202606/000244</v>
      </c>
      <c r="J24" s="22"/>
    </row>
    <row r="25" spans="1:10" ht="15.6" x14ac:dyDescent="0.3">
      <c r="A25" s="20" t="s">
        <v>193</v>
      </c>
      <c r="B25" s="20" t="s">
        <v>191</v>
      </c>
      <c r="C25" s="20" t="s">
        <v>119</v>
      </c>
      <c r="D25" s="20" t="s">
        <v>194</v>
      </c>
      <c r="E25" s="21">
        <v>575</v>
      </c>
      <c r="F25" s="20" t="s">
        <v>121</v>
      </c>
      <c r="G25" s="22"/>
      <c r="H25" s="20" t="s">
        <v>78</v>
      </c>
      <c r="I25" s="22" t="e">
        <f>VLOOKUP(H25,'[1]Export to Excel'!$B:$B,1,0)</f>
        <v>#N/A</v>
      </c>
      <c r="J25" s="22" t="s">
        <v>149</v>
      </c>
    </row>
    <row r="26" spans="1:10" ht="15.6" x14ac:dyDescent="0.3">
      <c r="A26" s="20" t="s">
        <v>195</v>
      </c>
      <c r="B26" s="20" t="s">
        <v>196</v>
      </c>
      <c r="C26" s="20" t="s">
        <v>119</v>
      </c>
      <c r="D26" s="20" t="s">
        <v>197</v>
      </c>
      <c r="E26" s="21">
        <v>2541.5</v>
      </c>
      <c r="F26" s="20" t="s">
        <v>121</v>
      </c>
      <c r="G26" s="22"/>
      <c r="H26" s="20" t="s">
        <v>80</v>
      </c>
      <c r="I26" s="22" t="str">
        <f>VLOOKUP(H26,'[1]Export to Excel'!$B:$B,1,0)</f>
        <v>SL/1/202606/000247</v>
      </c>
      <c r="J26" s="22"/>
    </row>
    <row r="27" spans="1:10" ht="15.6" x14ac:dyDescent="0.3">
      <c r="A27" s="20" t="s">
        <v>198</v>
      </c>
      <c r="B27" s="20" t="s">
        <v>199</v>
      </c>
      <c r="C27" s="20" t="s">
        <v>119</v>
      </c>
      <c r="D27" s="20" t="s">
        <v>200</v>
      </c>
      <c r="E27" s="21">
        <v>1495</v>
      </c>
      <c r="F27" s="20" t="s">
        <v>121</v>
      </c>
      <c r="G27" s="22"/>
      <c r="H27" s="20" t="s">
        <v>82</v>
      </c>
      <c r="I27" s="22" t="str">
        <f>VLOOKUP(H27,'[1]Export to Excel'!$B:$B,1,0)</f>
        <v>SL/1/202606/000248</v>
      </c>
      <c r="J27" s="22"/>
    </row>
    <row r="28" spans="1:10" ht="15.6" x14ac:dyDescent="0.3">
      <c r="A28" s="20" t="s">
        <v>201</v>
      </c>
      <c r="B28" s="20" t="s">
        <v>199</v>
      </c>
      <c r="C28" s="20" t="s">
        <v>119</v>
      </c>
      <c r="D28" s="20" t="s">
        <v>202</v>
      </c>
      <c r="E28" s="21">
        <v>2541.5</v>
      </c>
      <c r="F28" s="20" t="s">
        <v>121</v>
      </c>
      <c r="G28" s="22"/>
      <c r="H28" s="20" t="s">
        <v>84</v>
      </c>
      <c r="I28" s="22" t="str">
        <f>VLOOKUP(H28,'[1]Export to Excel'!$B:$B,1,0)</f>
        <v>SL/1/202606/000249</v>
      </c>
      <c r="J28" s="22"/>
    </row>
    <row r="29" spans="1:10" ht="15.6" x14ac:dyDescent="0.3">
      <c r="A29" s="20" t="s">
        <v>203</v>
      </c>
      <c r="B29" s="20" t="s">
        <v>204</v>
      </c>
      <c r="C29" s="20" t="s">
        <v>119</v>
      </c>
      <c r="D29" s="20" t="s">
        <v>205</v>
      </c>
      <c r="E29" s="21">
        <v>1495</v>
      </c>
      <c r="F29" s="20" t="s">
        <v>121</v>
      </c>
      <c r="G29" s="22"/>
      <c r="H29" s="20" t="s">
        <v>86</v>
      </c>
      <c r="I29" s="22" t="str">
        <f>VLOOKUP(H29,'[1]Export to Excel'!$B:$B,1,0)</f>
        <v>SL/1/202606/000250</v>
      </c>
      <c r="J29" s="22"/>
    </row>
    <row r="30" spans="1:10" ht="15.6" x14ac:dyDescent="0.3">
      <c r="A30" s="20" t="s">
        <v>206</v>
      </c>
      <c r="B30" s="20" t="s">
        <v>207</v>
      </c>
      <c r="C30" s="20" t="s">
        <v>119</v>
      </c>
      <c r="D30" s="20" t="s">
        <v>208</v>
      </c>
      <c r="E30" s="21">
        <v>2932.5</v>
      </c>
      <c r="F30" s="20" t="s">
        <v>121</v>
      </c>
      <c r="G30" s="22"/>
      <c r="H30" s="20" t="s">
        <v>88</v>
      </c>
      <c r="I30" s="22" t="str">
        <f>VLOOKUP(H30,'[1]Export to Excel'!$B:$B,1,0)</f>
        <v>SL/1/202606/000251</v>
      </c>
      <c r="J30" s="22"/>
    </row>
    <row r="31" spans="1:10" ht="15.6" x14ac:dyDescent="0.3">
      <c r="A31" s="20" t="s">
        <v>209</v>
      </c>
      <c r="B31" s="20" t="s">
        <v>210</v>
      </c>
      <c r="C31" s="20" t="s">
        <v>119</v>
      </c>
      <c r="D31" s="20" t="s">
        <v>211</v>
      </c>
      <c r="E31" s="21">
        <v>2541.5</v>
      </c>
      <c r="F31" s="20" t="s">
        <v>121</v>
      </c>
      <c r="G31" s="22"/>
      <c r="H31" s="20" t="s">
        <v>90</v>
      </c>
      <c r="I31" s="22" t="str">
        <f>VLOOKUP(H31,'[1]Export to Excel'!$B:$B,1,0)</f>
        <v>SL/1/202606/000252</v>
      </c>
      <c r="J31" s="22"/>
    </row>
    <row r="32" spans="1:10" ht="15.6" x14ac:dyDescent="0.3">
      <c r="A32" s="20" t="s">
        <v>212</v>
      </c>
      <c r="B32" s="20" t="s">
        <v>199</v>
      </c>
      <c r="C32" s="20" t="s">
        <v>119</v>
      </c>
      <c r="D32" s="20" t="s">
        <v>213</v>
      </c>
      <c r="E32" s="21">
        <v>575</v>
      </c>
      <c r="F32" s="20" t="s">
        <v>121</v>
      </c>
      <c r="G32" s="22"/>
      <c r="H32" s="20" t="s">
        <v>92</v>
      </c>
      <c r="I32" s="22" t="e">
        <f>VLOOKUP(H32,'[1]Export to Excel'!$B:$B,1,0)</f>
        <v>#N/A</v>
      </c>
      <c r="J32" s="22" t="s">
        <v>167</v>
      </c>
    </row>
    <row r="33" spans="1:10" ht="15.6" x14ac:dyDescent="0.3">
      <c r="A33" s="20" t="s">
        <v>214</v>
      </c>
      <c r="B33" s="20" t="s">
        <v>204</v>
      </c>
      <c r="C33" s="20" t="s">
        <v>119</v>
      </c>
      <c r="D33" s="20" t="s">
        <v>215</v>
      </c>
      <c r="E33" s="21">
        <v>575</v>
      </c>
      <c r="F33" s="20" t="s">
        <v>121</v>
      </c>
      <c r="G33" s="22"/>
      <c r="H33" s="20" t="s">
        <v>94</v>
      </c>
      <c r="I33" s="22" t="str">
        <f>VLOOKUP(H33,'[1]Export to Excel'!$B:$B,1,0)</f>
        <v>SL/1/202606/000254</v>
      </c>
      <c r="J33" s="22"/>
    </row>
    <row r="34" spans="1:10" ht="15.6" x14ac:dyDescent="0.3">
      <c r="A34" s="20" t="s">
        <v>216</v>
      </c>
      <c r="B34" s="20" t="s">
        <v>217</v>
      </c>
      <c r="C34" s="20" t="s">
        <v>119</v>
      </c>
      <c r="D34" s="20" t="s">
        <v>218</v>
      </c>
      <c r="E34" s="21">
        <v>805</v>
      </c>
      <c r="F34" s="20" t="s">
        <v>121</v>
      </c>
      <c r="G34" s="22"/>
      <c r="H34" s="20" t="s">
        <v>96</v>
      </c>
      <c r="I34" s="22" t="e">
        <f>VLOOKUP(H34,'[1]Export to Excel'!$B:$B,1,0)</f>
        <v>#N/A</v>
      </c>
      <c r="J34" s="22" t="s">
        <v>167</v>
      </c>
    </row>
    <row r="35" spans="1:10" ht="15.6" x14ac:dyDescent="0.3">
      <c r="A35" s="20" t="s">
        <v>219</v>
      </c>
      <c r="B35" s="20" t="s">
        <v>210</v>
      </c>
      <c r="C35" s="20" t="s">
        <v>119</v>
      </c>
      <c r="D35" s="20" t="s">
        <v>220</v>
      </c>
      <c r="E35" s="21">
        <v>575</v>
      </c>
      <c r="F35" s="20" t="s">
        <v>121</v>
      </c>
      <c r="G35" s="22"/>
      <c r="H35" s="20" t="s">
        <v>98</v>
      </c>
      <c r="I35" s="22" t="e">
        <f>VLOOKUP(H35,'[1]Export to Excel'!$B:$B,1,0)</f>
        <v>#N/A</v>
      </c>
      <c r="J35" s="22" t="s">
        <v>167</v>
      </c>
    </row>
    <row r="36" spans="1:10" ht="15.6" x14ac:dyDescent="0.3">
      <c r="A36" s="20" t="s">
        <v>221</v>
      </c>
      <c r="B36" s="20" t="s">
        <v>217</v>
      </c>
      <c r="C36" s="20" t="s">
        <v>119</v>
      </c>
      <c r="D36" s="20" t="s">
        <v>222</v>
      </c>
      <c r="E36" s="21">
        <v>575</v>
      </c>
      <c r="F36" s="20" t="s">
        <v>121</v>
      </c>
      <c r="G36" s="22"/>
      <c r="H36" s="20" t="s">
        <v>100</v>
      </c>
      <c r="I36" s="22" t="str">
        <f>VLOOKUP(H36,'[1]Export to Excel'!$B:$B,1,0)</f>
        <v>SL/1/202606/000257</v>
      </c>
      <c r="J36" s="22"/>
    </row>
    <row r="37" spans="1:10" ht="15.6" x14ac:dyDescent="0.3">
      <c r="A37" s="20" t="s">
        <v>223</v>
      </c>
      <c r="B37" s="20" t="s">
        <v>224</v>
      </c>
      <c r="C37" s="20" t="s">
        <v>119</v>
      </c>
      <c r="D37" s="20" t="s">
        <v>225</v>
      </c>
      <c r="E37" s="21">
        <v>575</v>
      </c>
      <c r="F37" s="20" t="s">
        <v>121</v>
      </c>
      <c r="G37" s="22"/>
      <c r="H37" s="20" t="s">
        <v>226</v>
      </c>
      <c r="I37" s="22" t="e">
        <f>VLOOKUP(H37,'[1]Export to Excel'!$B:$B,1,0)</f>
        <v>#N/A</v>
      </c>
      <c r="J37" s="16" t="s">
        <v>123</v>
      </c>
    </row>
    <row r="38" spans="1:10" ht="15.6" x14ac:dyDescent="0.3">
      <c r="A38" s="20" t="s">
        <v>227</v>
      </c>
      <c r="B38" s="20" t="s">
        <v>224</v>
      </c>
      <c r="C38" s="20" t="s">
        <v>119</v>
      </c>
      <c r="D38" s="20" t="s">
        <v>228</v>
      </c>
      <c r="E38" s="21">
        <v>2541.5</v>
      </c>
      <c r="F38" s="20" t="s">
        <v>121</v>
      </c>
      <c r="G38" s="22"/>
      <c r="H38" s="20" t="s">
        <v>229</v>
      </c>
      <c r="I38" s="22" t="e">
        <f>VLOOKUP(H38,'[1]Export to Excel'!$B:$B,1,0)</f>
        <v>#N/A</v>
      </c>
      <c r="J38" s="16" t="s">
        <v>123</v>
      </c>
    </row>
    <row r="39" spans="1:10" ht="15.6" x14ac:dyDescent="0.3">
      <c r="A39" s="20" t="s">
        <v>230</v>
      </c>
      <c r="B39" s="20" t="s">
        <v>224</v>
      </c>
      <c r="C39" s="20" t="s">
        <v>119</v>
      </c>
      <c r="D39" s="20" t="s">
        <v>231</v>
      </c>
      <c r="E39" s="21">
        <v>2932.5</v>
      </c>
      <c r="F39" s="20" t="s">
        <v>121</v>
      </c>
      <c r="G39" s="22"/>
      <c r="H39" s="20" t="s">
        <v>232</v>
      </c>
      <c r="I39" s="22" t="e">
        <f>VLOOKUP(H39,'[1]Export to Excel'!$B:$B,1,0)</f>
        <v>#N/A</v>
      </c>
      <c r="J39" s="22" t="s">
        <v>233</v>
      </c>
    </row>
    <row r="40" spans="1:10" ht="15.6" x14ac:dyDescent="0.3">
      <c r="A40" s="20" t="s">
        <v>234</v>
      </c>
      <c r="B40" s="20" t="s">
        <v>235</v>
      </c>
      <c r="C40" s="20" t="s">
        <v>119</v>
      </c>
      <c r="D40" s="20" t="s">
        <v>236</v>
      </c>
      <c r="E40" s="21">
        <v>805</v>
      </c>
      <c r="F40" s="20" t="s">
        <v>121</v>
      </c>
      <c r="G40" s="22"/>
      <c r="H40" s="20" t="s">
        <v>102</v>
      </c>
      <c r="I40" s="22" t="e">
        <f>VLOOKUP(H40,'[1]Export to Excel'!$B:$B,1,0)</f>
        <v>#N/A</v>
      </c>
      <c r="J40" s="22" t="s">
        <v>149</v>
      </c>
    </row>
    <row r="41" spans="1:10" ht="15.6" x14ac:dyDescent="0.3">
      <c r="A41" s="20" t="s">
        <v>237</v>
      </c>
      <c r="B41" s="20" t="s">
        <v>210</v>
      </c>
      <c r="C41" s="20" t="s">
        <v>119</v>
      </c>
      <c r="D41" s="20" t="s">
        <v>238</v>
      </c>
      <c r="E41" s="21">
        <v>575</v>
      </c>
      <c r="F41" s="20" t="s">
        <v>121</v>
      </c>
      <c r="G41" s="22"/>
      <c r="H41" s="20" t="s">
        <v>104</v>
      </c>
      <c r="I41" s="22" t="str">
        <f>VLOOKUP(H41,'[1]Export to Excel'!$B:$B,1,0)</f>
        <v>SL/1/202607/000262</v>
      </c>
      <c r="J41" s="22"/>
    </row>
    <row r="42" spans="1:10" ht="15.6" x14ac:dyDescent="0.3">
      <c r="A42" s="20" t="s">
        <v>239</v>
      </c>
      <c r="B42" s="20" t="s">
        <v>235</v>
      </c>
      <c r="C42" s="20" t="s">
        <v>119</v>
      </c>
      <c r="D42" s="20" t="s">
        <v>240</v>
      </c>
      <c r="E42" s="21">
        <v>575</v>
      </c>
      <c r="F42" s="20" t="s">
        <v>121</v>
      </c>
      <c r="G42" s="22"/>
      <c r="H42" s="20" t="s">
        <v>106</v>
      </c>
      <c r="I42" s="22" t="str">
        <f>VLOOKUP(H42,'[1]Export to Excel'!$B:$B,1,0)</f>
        <v>SL/1/202607/000263</v>
      </c>
      <c r="J42" s="22"/>
    </row>
    <row r="43" spans="1:10" ht="15.6" x14ac:dyDescent="0.3">
      <c r="D43" s="14" t="s">
        <v>241</v>
      </c>
      <c r="E43" s="19">
        <f>SUM(E3:E42)</f>
        <v>61368.6</v>
      </c>
      <c r="F43" s="14">
        <f>SUM(F3:F42)</f>
        <v>0</v>
      </c>
    </row>
  </sheetData>
  <pageMargins left="0.7" right="0.7" top="0.75" bottom="0.75" header="0.3" footer="0.3"/>
  <pageSetup paperSize="9" scale="6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0285-ABBB-4248-B6BD-B96E5D050FF0}">
  <sheetPr>
    <pageSetUpPr fitToPage="1"/>
  </sheetPr>
  <dimension ref="B2:L52"/>
  <sheetViews>
    <sheetView tabSelected="1" topLeftCell="A17" zoomScaleNormal="100" workbookViewId="0">
      <selection activeCell="C40" sqref="C40"/>
    </sheetView>
  </sheetViews>
  <sheetFormatPr defaultColWidth="12.21875" defaultRowHeight="15" x14ac:dyDescent="0.25"/>
  <cols>
    <col min="1" max="1" width="3.77734375" style="34" customWidth="1"/>
    <col min="2" max="2" width="16.5546875" style="34" bestFit="1" customWidth="1"/>
    <col min="3" max="3" width="19.88671875" style="34" bestFit="1" customWidth="1"/>
    <col min="4" max="4" width="18.21875" style="34" bestFit="1" customWidth="1"/>
    <col min="5" max="5" width="16.109375" style="34" bestFit="1" customWidth="1"/>
    <col min="6" max="6" width="17.44140625" style="34" bestFit="1" customWidth="1"/>
    <col min="7" max="16384" width="12.21875" style="34"/>
  </cols>
  <sheetData>
    <row r="2" spans="2:12" s="27" customFormat="1" ht="24" x14ac:dyDescent="0.3">
      <c r="B2" s="23" t="s">
        <v>242</v>
      </c>
      <c r="C2" s="23"/>
      <c r="D2" s="24"/>
      <c r="E2" s="24"/>
      <c r="F2" s="25"/>
      <c r="G2" s="26"/>
      <c r="H2" s="26"/>
      <c r="I2" s="26"/>
    </row>
    <row r="3" spans="2:12" s="27" customFormat="1" ht="24" x14ac:dyDescent="0.3">
      <c r="B3" s="23">
        <f ca="1">TODAY()</f>
        <v>46273</v>
      </c>
      <c r="C3" s="23"/>
      <c r="D3" s="24"/>
      <c r="E3" s="24"/>
      <c r="F3" s="25"/>
      <c r="G3" s="26"/>
      <c r="H3" s="26"/>
      <c r="I3" s="26"/>
    </row>
    <row r="4" spans="2:12" s="27" customFormat="1" ht="14.4" x14ac:dyDescent="0.15">
      <c r="B4" s="28" t="s">
        <v>243</v>
      </c>
      <c r="C4" s="28"/>
      <c r="D4" s="28"/>
      <c r="E4" s="28"/>
      <c r="F4" s="28"/>
      <c r="G4" s="29"/>
      <c r="H4" s="26"/>
      <c r="I4" s="26"/>
      <c r="L4" s="30"/>
    </row>
    <row r="5" spans="2:12" s="27" customFormat="1" ht="24" x14ac:dyDescent="0.3">
      <c r="B5" s="23"/>
      <c r="C5" s="23"/>
      <c r="D5" s="24"/>
      <c r="E5" s="24"/>
      <c r="F5" s="25"/>
      <c r="G5" s="26"/>
      <c r="H5" s="26"/>
      <c r="I5" s="26"/>
    </row>
    <row r="6" spans="2:12" ht="15.6" x14ac:dyDescent="0.3">
      <c r="B6" s="31" t="s">
        <v>244</v>
      </c>
      <c r="C6"/>
      <c r="D6" s="32"/>
      <c r="E6" s="33"/>
      <c r="F6" s="33"/>
      <c r="L6" s="30"/>
    </row>
    <row r="7" spans="2:12" ht="15.6" x14ac:dyDescent="0.3">
      <c r="B7" s="31" t="s">
        <v>245</v>
      </c>
      <c r="C7" s="35"/>
      <c r="D7" s="36"/>
      <c r="E7" s="36"/>
      <c r="F7" s="36"/>
      <c r="G7" s="37"/>
    </row>
    <row r="8" spans="2:12" x14ac:dyDescent="0.25">
      <c r="B8" s="31" t="s">
        <v>246</v>
      </c>
      <c r="C8" s="38"/>
      <c r="D8" s="38"/>
      <c r="E8" s="38"/>
      <c r="F8" s="38"/>
    </row>
    <row r="9" spans="2:12" x14ac:dyDescent="0.25">
      <c r="B9" s="39"/>
      <c r="C9" s="39"/>
      <c r="D9" s="40"/>
      <c r="E9" s="41"/>
      <c r="F9" s="39"/>
    </row>
    <row r="10" spans="2:12" x14ac:dyDescent="0.25">
      <c r="B10" s="28" t="s">
        <v>247</v>
      </c>
      <c r="C10" s="28"/>
      <c r="D10" s="28"/>
      <c r="E10" s="28"/>
      <c r="F10" s="28"/>
    </row>
    <row r="11" spans="2:12" x14ac:dyDescent="0.25">
      <c r="B11" s="42" t="s">
        <v>248</v>
      </c>
      <c r="C11" s="42" t="s">
        <v>249</v>
      </c>
      <c r="D11" s="42" t="s">
        <v>250</v>
      </c>
      <c r="E11" s="42" t="s">
        <v>251</v>
      </c>
      <c r="F11" s="43" t="s">
        <v>252</v>
      </c>
    </row>
    <row r="12" spans="2:12" s="54" customFormat="1" x14ac:dyDescent="0.25">
      <c r="B12" s="49" t="s">
        <v>50</v>
      </c>
      <c r="C12" s="51">
        <v>2472.5</v>
      </c>
      <c r="D12" s="51" t="s">
        <v>49</v>
      </c>
      <c r="E12" s="52" t="s">
        <v>253</v>
      </c>
      <c r="F12" s="53"/>
    </row>
    <row r="13" spans="2:12" s="54" customFormat="1" x14ac:dyDescent="0.25">
      <c r="B13" s="50" t="s">
        <v>54</v>
      </c>
      <c r="C13" s="55">
        <v>2133.25</v>
      </c>
      <c r="D13" s="55" t="s">
        <v>51</v>
      </c>
      <c r="E13" s="56" t="s">
        <v>253</v>
      </c>
      <c r="F13" s="57"/>
    </row>
    <row r="14" spans="2:12" s="54" customFormat="1" x14ac:dyDescent="0.25">
      <c r="B14" s="50" t="s">
        <v>56</v>
      </c>
      <c r="C14" s="55">
        <v>575</v>
      </c>
      <c r="D14" s="55" t="s">
        <v>55</v>
      </c>
      <c r="E14" s="56" t="s">
        <v>253</v>
      </c>
      <c r="F14" s="57"/>
    </row>
    <row r="15" spans="2:12" s="54" customFormat="1" x14ac:dyDescent="0.25">
      <c r="B15" s="50" t="s">
        <v>58</v>
      </c>
      <c r="C15" s="55">
        <v>1035</v>
      </c>
      <c r="D15" s="55" t="s">
        <v>57</v>
      </c>
      <c r="E15" s="56" t="s">
        <v>253</v>
      </c>
      <c r="F15" s="57"/>
    </row>
    <row r="16" spans="2:12" s="54" customFormat="1" x14ac:dyDescent="0.25">
      <c r="B16" s="50" t="s">
        <v>61</v>
      </c>
      <c r="C16" s="55">
        <v>805</v>
      </c>
      <c r="D16" s="55" t="s">
        <v>60</v>
      </c>
      <c r="E16" s="56" t="s">
        <v>253</v>
      </c>
      <c r="F16" s="57"/>
    </row>
    <row r="17" spans="2:6" s="54" customFormat="1" x14ac:dyDescent="0.25">
      <c r="B17" s="50" t="s">
        <v>63</v>
      </c>
      <c r="C17" s="55">
        <v>805</v>
      </c>
      <c r="D17" s="55" t="s">
        <v>62</v>
      </c>
      <c r="E17" s="56" t="s">
        <v>253</v>
      </c>
      <c r="F17" s="57"/>
    </row>
    <row r="18" spans="2:6" s="54" customFormat="1" x14ac:dyDescent="0.25">
      <c r="B18" s="50" t="s">
        <v>65</v>
      </c>
      <c r="C18" s="55">
        <v>2702.5</v>
      </c>
      <c r="D18" s="55" t="s">
        <v>64</v>
      </c>
      <c r="E18" s="56" t="s">
        <v>253</v>
      </c>
      <c r="F18" s="57"/>
    </row>
    <row r="19" spans="2:6" s="54" customFormat="1" x14ac:dyDescent="0.25">
      <c r="B19" s="50" t="s">
        <v>67</v>
      </c>
      <c r="C19" s="55">
        <v>805</v>
      </c>
      <c r="D19" s="55" t="s">
        <v>66</v>
      </c>
      <c r="E19" s="56" t="s">
        <v>253</v>
      </c>
      <c r="F19" s="57"/>
    </row>
    <row r="20" spans="2:6" s="54" customFormat="1" x14ac:dyDescent="0.25">
      <c r="B20" s="50" t="s">
        <v>69</v>
      </c>
      <c r="C20" s="55">
        <v>1725</v>
      </c>
      <c r="D20" s="55" t="s">
        <v>68</v>
      </c>
      <c r="E20" s="56" t="s">
        <v>253</v>
      </c>
      <c r="F20" s="57"/>
    </row>
    <row r="21" spans="2:6" s="54" customFormat="1" x14ac:dyDescent="0.25">
      <c r="B21" s="50" t="s">
        <v>71</v>
      </c>
      <c r="C21" s="55">
        <v>1495</v>
      </c>
      <c r="D21" s="55" t="s">
        <v>70</v>
      </c>
      <c r="E21" s="56" t="s">
        <v>253</v>
      </c>
      <c r="F21" s="57"/>
    </row>
    <row r="22" spans="2:6" s="54" customFormat="1" x14ac:dyDescent="0.25">
      <c r="B22" s="50" t="s">
        <v>73</v>
      </c>
      <c r="C22" s="55">
        <v>1495</v>
      </c>
      <c r="D22" s="55" t="s">
        <v>72</v>
      </c>
      <c r="E22" s="56" t="s">
        <v>253</v>
      </c>
      <c r="F22" s="57"/>
    </row>
    <row r="23" spans="2:6" s="54" customFormat="1" x14ac:dyDescent="0.25">
      <c r="B23" s="50" t="s">
        <v>75</v>
      </c>
      <c r="C23" s="55">
        <v>575</v>
      </c>
      <c r="D23" s="55" t="s">
        <v>74</v>
      </c>
      <c r="E23" s="56" t="s">
        <v>253</v>
      </c>
      <c r="F23" s="57"/>
    </row>
    <row r="24" spans="2:6" s="54" customFormat="1" x14ac:dyDescent="0.25">
      <c r="B24" s="50" t="s">
        <v>77</v>
      </c>
      <c r="C24" s="55">
        <v>575</v>
      </c>
      <c r="D24" s="55" t="s">
        <v>76</v>
      </c>
      <c r="E24" s="56" t="s">
        <v>253</v>
      </c>
      <c r="F24" s="57"/>
    </row>
    <row r="25" spans="2:6" s="54" customFormat="1" x14ac:dyDescent="0.25">
      <c r="B25" s="50" t="s">
        <v>79</v>
      </c>
      <c r="C25" s="55">
        <v>575</v>
      </c>
      <c r="D25" s="55" t="s">
        <v>78</v>
      </c>
      <c r="E25" s="56" t="s">
        <v>253</v>
      </c>
      <c r="F25" s="57"/>
    </row>
    <row r="26" spans="2:6" s="54" customFormat="1" x14ac:dyDescent="0.25">
      <c r="B26" s="50" t="s">
        <v>81</v>
      </c>
      <c r="C26" s="55">
        <v>2541.5</v>
      </c>
      <c r="D26" s="55" t="s">
        <v>80</v>
      </c>
      <c r="E26" s="56" t="s">
        <v>253</v>
      </c>
      <c r="F26" s="57"/>
    </row>
    <row r="27" spans="2:6" s="54" customFormat="1" x14ac:dyDescent="0.25">
      <c r="B27" s="50" t="s">
        <v>83</v>
      </c>
      <c r="C27" s="55">
        <v>1495</v>
      </c>
      <c r="D27" s="55" t="s">
        <v>82</v>
      </c>
      <c r="E27" s="56" t="s">
        <v>253</v>
      </c>
      <c r="F27" s="57"/>
    </row>
    <row r="28" spans="2:6" s="54" customFormat="1" x14ac:dyDescent="0.25">
      <c r="B28" s="50" t="s">
        <v>85</v>
      </c>
      <c r="C28" s="55">
        <v>2541.5</v>
      </c>
      <c r="D28" s="55" t="s">
        <v>84</v>
      </c>
      <c r="E28" s="56" t="s">
        <v>253</v>
      </c>
      <c r="F28" s="57"/>
    </row>
    <row r="29" spans="2:6" s="54" customFormat="1" x14ac:dyDescent="0.25">
      <c r="B29" s="50" t="s">
        <v>87</v>
      </c>
      <c r="C29" s="55">
        <v>1495</v>
      </c>
      <c r="D29" s="55" t="s">
        <v>86</v>
      </c>
      <c r="E29" s="56" t="s">
        <v>253</v>
      </c>
      <c r="F29" s="57"/>
    </row>
    <row r="30" spans="2:6" s="54" customFormat="1" x14ac:dyDescent="0.25">
      <c r="B30" s="50" t="s">
        <v>89</v>
      </c>
      <c r="C30" s="55">
        <v>2932.5</v>
      </c>
      <c r="D30" s="55" t="s">
        <v>88</v>
      </c>
      <c r="E30" s="56" t="s">
        <v>253</v>
      </c>
      <c r="F30" s="57"/>
    </row>
    <row r="31" spans="2:6" s="54" customFormat="1" x14ac:dyDescent="0.25">
      <c r="B31" s="50" t="s">
        <v>91</v>
      </c>
      <c r="C31" s="55">
        <v>2541.5</v>
      </c>
      <c r="D31" s="55" t="s">
        <v>90</v>
      </c>
      <c r="E31" s="56" t="s">
        <v>253</v>
      </c>
      <c r="F31" s="57"/>
    </row>
    <row r="32" spans="2:6" s="54" customFormat="1" x14ac:dyDescent="0.25">
      <c r="B32" s="50" t="s">
        <v>93</v>
      </c>
      <c r="C32" s="55">
        <v>575</v>
      </c>
      <c r="D32" s="55" t="s">
        <v>92</v>
      </c>
      <c r="E32" s="56" t="s">
        <v>253</v>
      </c>
      <c r="F32" s="57"/>
    </row>
    <row r="33" spans="2:6" s="54" customFormat="1" x14ac:dyDescent="0.25">
      <c r="B33" s="50" t="s">
        <v>95</v>
      </c>
      <c r="C33" s="55">
        <v>575</v>
      </c>
      <c r="D33" s="55" t="s">
        <v>94</v>
      </c>
      <c r="E33" s="56" t="s">
        <v>253</v>
      </c>
      <c r="F33" s="57"/>
    </row>
    <row r="34" spans="2:6" s="54" customFormat="1" x14ac:dyDescent="0.25">
      <c r="B34" s="50" t="s">
        <v>97</v>
      </c>
      <c r="C34" s="55">
        <v>805</v>
      </c>
      <c r="D34" s="55" t="s">
        <v>96</v>
      </c>
      <c r="E34" s="56" t="s">
        <v>253</v>
      </c>
      <c r="F34" s="57"/>
    </row>
    <row r="35" spans="2:6" s="54" customFormat="1" x14ac:dyDescent="0.25">
      <c r="B35" s="50" t="s">
        <v>99</v>
      </c>
      <c r="C35" s="55">
        <v>575</v>
      </c>
      <c r="D35" s="55" t="s">
        <v>98</v>
      </c>
      <c r="E35" s="56" t="s">
        <v>253</v>
      </c>
      <c r="F35" s="57"/>
    </row>
    <row r="36" spans="2:6" s="54" customFormat="1" x14ac:dyDescent="0.25">
      <c r="B36" s="50" t="s">
        <v>101</v>
      </c>
      <c r="C36" s="55">
        <v>575</v>
      </c>
      <c r="D36" s="55" t="s">
        <v>100</v>
      </c>
      <c r="E36" s="56" t="s">
        <v>253</v>
      </c>
      <c r="F36" s="57"/>
    </row>
    <row r="37" spans="2:6" s="54" customFormat="1" x14ac:dyDescent="0.25">
      <c r="B37" s="50" t="s">
        <v>103</v>
      </c>
      <c r="C37" s="55">
        <v>805</v>
      </c>
      <c r="D37" s="55" t="s">
        <v>102</v>
      </c>
      <c r="E37" s="56" t="s">
        <v>253</v>
      </c>
      <c r="F37" s="57"/>
    </row>
    <row r="38" spans="2:6" s="54" customFormat="1" x14ac:dyDescent="0.25">
      <c r="B38" s="50" t="s">
        <v>105</v>
      </c>
      <c r="C38" s="55">
        <v>575</v>
      </c>
      <c r="D38" s="55" t="s">
        <v>104</v>
      </c>
      <c r="E38" s="56" t="s">
        <v>253</v>
      </c>
      <c r="F38" s="57"/>
    </row>
    <row r="39" spans="2:6" s="54" customFormat="1" x14ac:dyDescent="0.25">
      <c r="B39" s="50" t="s">
        <v>107</v>
      </c>
      <c r="C39" s="55">
        <v>575</v>
      </c>
      <c r="D39" s="55" t="s">
        <v>106</v>
      </c>
      <c r="E39" s="56" t="s">
        <v>253</v>
      </c>
      <c r="F39" s="57"/>
    </row>
    <row r="40" spans="2:6" ht="25.2" x14ac:dyDescent="0.25">
      <c r="B40" s="44" t="s">
        <v>254</v>
      </c>
      <c r="C40" s="45">
        <f>SUM(C12:C39)</f>
        <v>36380.25</v>
      </c>
      <c r="D40" s="46"/>
      <c r="E40" s="44" t="s">
        <v>255</v>
      </c>
      <c r="F40" s="46"/>
    </row>
    <row r="42" spans="2:6" ht="15.6" x14ac:dyDescent="0.3">
      <c r="B42" s="47" t="s">
        <v>256</v>
      </c>
      <c r="C42" s="47"/>
      <c r="D42" s="1"/>
      <c r="E42" s="47"/>
      <c r="F42" s="58"/>
    </row>
    <row r="43" spans="2:6" s="48" customFormat="1" ht="15.6" x14ac:dyDescent="0.3">
      <c r="B43" s="47" t="s">
        <v>257</v>
      </c>
      <c r="C43" s="59" t="s">
        <v>267</v>
      </c>
      <c r="D43" s="60"/>
      <c r="E43" s="47" t="s">
        <v>258</v>
      </c>
      <c r="F43" s="59" t="s">
        <v>259</v>
      </c>
    </row>
    <row r="44" spans="2:6" s="33" customFormat="1" ht="15.6" x14ac:dyDescent="0.3">
      <c r="B44" s="47"/>
      <c r="C44" s="59" t="s">
        <v>260</v>
      </c>
      <c r="D44" s="58"/>
      <c r="E44" s="47" t="s">
        <v>32</v>
      </c>
      <c r="F44" s="1" t="s">
        <v>261</v>
      </c>
    </row>
    <row r="45" spans="2:6" s="33" customFormat="1" x14ac:dyDescent="0.25">
      <c r="B45" s="47" t="s">
        <v>262</v>
      </c>
      <c r="C45" s="61"/>
      <c r="D45" s="58"/>
      <c r="E45" s="47" t="s">
        <v>263</v>
      </c>
      <c r="F45" s="58"/>
    </row>
    <row r="46" spans="2:6" s="33" customFormat="1" x14ac:dyDescent="0.25">
      <c r="B46" s="47"/>
      <c r="C46" s="61"/>
      <c r="D46" s="58"/>
      <c r="E46" s="47"/>
      <c r="F46" s="58"/>
    </row>
    <row r="47" spans="2:6" s="33" customFormat="1" x14ac:dyDescent="0.25">
      <c r="B47" s="47"/>
      <c r="C47" s="61"/>
      <c r="D47" s="58"/>
      <c r="E47" s="47"/>
      <c r="F47" s="58"/>
    </row>
    <row r="48" spans="2:6" s="33" customFormat="1" x14ac:dyDescent="0.25">
      <c r="B48" s="58"/>
      <c r="C48" s="61"/>
      <c r="D48" s="58"/>
      <c r="E48" s="58"/>
      <c r="F48" s="58"/>
    </row>
    <row r="49" spans="2:6" s="33" customFormat="1" x14ac:dyDescent="0.25">
      <c r="B49" s="47" t="s">
        <v>264</v>
      </c>
      <c r="C49" s="61"/>
      <c r="D49" s="58"/>
      <c r="E49" s="62"/>
      <c r="F49" s="58"/>
    </row>
    <row r="50" spans="2:6" s="33" customFormat="1" ht="15.6" x14ac:dyDescent="0.3">
      <c r="B50" s="47" t="s">
        <v>257</v>
      </c>
      <c r="C50" s="59" t="s">
        <v>265</v>
      </c>
      <c r="D50" s="58"/>
      <c r="E50" s="47"/>
      <c r="F50" s="1"/>
    </row>
    <row r="51" spans="2:6" s="33" customFormat="1" ht="15.6" x14ac:dyDescent="0.3">
      <c r="B51" s="47"/>
      <c r="C51" s="59" t="s">
        <v>266</v>
      </c>
      <c r="D51" s="58"/>
      <c r="E51" s="47"/>
      <c r="F51" s="1"/>
    </row>
    <row r="52" spans="2:6" s="33" customFormat="1" x14ac:dyDescent="0.25">
      <c r="B52" s="47" t="s">
        <v>262</v>
      </c>
      <c r="C52" s="47"/>
      <c r="D52" s="58"/>
      <c r="E52" s="47"/>
      <c r="F52" s="58"/>
    </row>
  </sheetData>
  <mergeCells count="1">
    <mergeCell ref="C8:F8"/>
  </mergeCells>
  <conditionalFormatting sqref="B2:C3 B5:C5">
    <cfRule type="containsText" dxfId="0" priority="1" stopIfTrue="1" operator="containsText" text="[Enter">
      <formula>NOT(ISERROR(SEARCH("[Enter",B2)))</formula>
    </cfRule>
  </conditionalFormatting>
  <pageMargins left="0.7" right="0.7" top="0.75" bottom="0.75" header="0.3" footer="0.3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0156-C7D2-406C-A3E7-B9719EAC0CD9}">
  <sheetPr>
    <pageSetUpPr fitToPage="1"/>
  </sheetPr>
  <dimension ref="B2:H53"/>
  <sheetViews>
    <sheetView topLeftCell="A27" workbookViewId="0">
      <selection activeCell="C7" sqref="C7"/>
    </sheetView>
  </sheetViews>
  <sheetFormatPr defaultRowHeight="14.4" x14ac:dyDescent="0.3"/>
  <cols>
    <col min="1" max="1" width="4.44140625" customWidth="1"/>
    <col min="2" max="2" width="29.44140625" customWidth="1"/>
    <col min="3" max="3" width="21.5546875" bestFit="1" customWidth="1"/>
    <col min="4" max="4" width="16.44140625" customWidth="1"/>
    <col min="5" max="5" width="25.77734375" bestFit="1" customWidth="1"/>
    <col min="6" max="6" width="25.21875" bestFit="1" customWidth="1"/>
    <col min="7" max="7" width="30.77734375" bestFit="1" customWidth="1"/>
    <col min="8" max="8" width="13.21875" bestFit="1" customWidth="1"/>
    <col min="9" max="9" width="9.5546875" bestFit="1" customWidth="1"/>
    <col min="10" max="10" width="11.5546875" bestFit="1" customWidth="1"/>
    <col min="11" max="11" width="10.109375" bestFit="1" customWidth="1"/>
  </cols>
  <sheetData>
    <row r="2" spans="2:8" ht="18" x14ac:dyDescent="0.3">
      <c r="B2" s="23" t="s">
        <v>242</v>
      </c>
      <c r="C2" s="23"/>
      <c r="D2" s="23"/>
      <c r="E2" s="23"/>
      <c r="F2" s="23"/>
      <c r="G2" s="13"/>
    </row>
    <row r="3" spans="2:8" ht="18" x14ac:dyDescent="0.3">
      <c r="B3" s="23">
        <f ca="1">TODAY()</f>
        <v>46273</v>
      </c>
      <c r="C3" s="23"/>
      <c r="D3" s="23"/>
      <c r="E3" s="23"/>
      <c r="F3" s="23"/>
      <c r="G3" s="23"/>
      <c r="H3" s="63"/>
    </row>
    <row r="4" spans="2:8" x14ac:dyDescent="0.3">
      <c r="B4" s="64"/>
      <c r="C4" s="64"/>
      <c r="D4" s="64"/>
      <c r="E4" s="64"/>
      <c r="F4" s="64"/>
      <c r="G4" s="64"/>
    </row>
    <row r="5" spans="2:8" x14ac:dyDescent="0.3">
      <c r="B5" s="65" t="s">
        <v>268</v>
      </c>
      <c r="C5" s="66" t="s">
        <v>33</v>
      </c>
      <c r="D5" s="67"/>
      <c r="F5" s="68" t="s">
        <v>269</v>
      </c>
      <c r="G5" s="69">
        <v>36380.25</v>
      </c>
    </row>
    <row r="6" spans="2:8" x14ac:dyDescent="0.3">
      <c r="B6" s="65" t="s">
        <v>270</v>
      </c>
      <c r="C6" s="70">
        <v>12497</v>
      </c>
      <c r="D6" s="71"/>
      <c r="F6" s="68" t="s">
        <v>271</v>
      </c>
      <c r="G6" s="69">
        <v>61368.6</v>
      </c>
      <c r="H6" s="72"/>
    </row>
    <row r="7" spans="2:8" x14ac:dyDescent="0.3">
      <c r="B7" s="65" t="s">
        <v>272</v>
      </c>
      <c r="C7" s="70"/>
      <c r="D7" s="67"/>
      <c r="F7" s="68" t="s">
        <v>31</v>
      </c>
      <c r="G7" s="73" t="s">
        <v>44</v>
      </c>
    </row>
    <row r="9" spans="2:8" x14ac:dyDescent="0.3">
      <c r="B9" s="74"/>
      <c r="C9" s="75"/>
      <c r="D9" s="75"/>
      <c r="E9" s="75"/>
      <c r="F9" s="75"/>
      <c r="G9" s="75"/>
    </row>
    <row r="10" spans="2:8" x14ac:dyDescent="0.3">
      <c r="B10" s="76" t="s">
        <v>273</v>
      </c>
      <c r="C10" s="77"/>
      <c r="D10" s="77"/>
      <c r="E10" s="77"/>
      <c r="F10" s="77"/>
      <c r="G10" s="77"/>
    </row>
    <row r="11" spans="2:8" x14ac:dyDescent="0.3">
      <c r="B11" s="78" t="s">
        <v>274</v>
      </c>
      <c r="C11" s="79" t="s">
        <v>252</v>
      </c>
      <c r="D11" s="79" t="s">
        <v>275</v>
      </c>
      <c r="E11" s="79" t="s">
        <v>276</v>
      </c>
      <c r="F11" s="79" t="s">
        <v>249</v>
      </c>
      <c r="G11" s="79" t="s">
        <v>277</v>
      </c>
    </row>
    <row r="12" spans="2:8" x14ac:dyDescent="0.3">
      <c r="B12" s="80"/>
      <c r="C12" s="81"/>
      <c r="D12" s="81"/>
      <c r="E12" s="82"/>
      <c r="F12" s="83"/>
      <c r="G12" s="84"/>
    </row>
    <row r="13" spans="2:8" x14ac:dyDescent="0.3">
      <c r="B13" s="80"/>
      <c r="C13" s="81"/>
      <c r="D13" s="81"/>
      <c r="E13" s="82"/>
      <c r="F13" s="83"/>
      <c r="G13" s="84"/>
    </row>
    <row r="14" spans="2:8" x14ac:dyDescent="0.3">
      <c r="B14" s="80"/>
      <c r="C14" s="81"/>
      <c r="D14" s="81"/>
      <c r="E14" s="82"/>
      <c r="F14" s="83"/>
      <c r="G14" s="84"/>
    </row>
    <row r="15" spans="2:8" x14ac:dyDescent="0.3">
      <c r="B15" s="80"/>
      <c r="C15" s="81"/>
      <c r="D15" s="81"/>
      <c r="E15" s="82"/>
      <c r="F15" s="83"/>
      <c r="G15" s="84"/>
    </row>
    <row r="16" spans="2:8" ht="13.5" customHeight="1" x14ac:dyDescent="0.3">
      <c r="B16" s="85"/>
      <c r="C16" s="86"/>
      <c r="D16" s="86"/>
      <c r="E16" s="86"/>
      <c r="F16" s="87">
        <f>SUM(F12:F15)</f>
        <v>0</v>
      </c>
    </row>
    <row r="18" spans="2:7" x14ac:dyDescent="0.3">
      <c r="B18" s="76"/>
      <c r="C18" s="77"/>
      <c r="D18" s="77"/>
      <c r="E18" s="77"/>
      <c r="F18" s="77"/>
      <c r="G18" s="88"/>
    </row>
    <row r="19" spans="2:7" x14ac:dyDescent="0.3">
      <c r="B19" s="78" t="s">
        <v>278</v>
      </c>
      <c r="C19" s="79" t="s">
        <v>252</v>
      </c>
      <c r="D19" s="79" t="s">
        <v>275</v>
      </c>
      <c r="E19" s="89" t="s">
        <v>276</v>
      </c>
      <c r="F19" s="89" t="s">
        <v>249</v>
      </c>
      <c r="G19" s="79" t="s">
        <v>277</v>
      </c>
    </row>
    <row r="20" spans="2:7" x14ac:dyDescent="0.3">
      <c r="B20" s="80"/>
      <c r="C20" s="79"/>
      <c r="D20" s="79"/>
      <c r="E20" s="89" t="s">
        <v>122</v>
      </c>
      <c r="F20" s="90">
        <v>575</v>
      </c>
      <c r="G20" s="79"/>
    </row>
    <row r="21" spans="2:7" x14ac:dyDescent="0.3">
      <c r="B21" s="80"/>
      <c r="C21" s="79"/>
      <c r="D21" s="79"/>
      <c r="E21" s="89" t="s">
        <v>126</v>
      </c>
      <c r="F21" s="90">
        <v>575</v>
      </c>
      <c r="G21" s="79"/>
    </row>
    <row r="22" spans="2:7" x14ac:dyDescent="0.3">
      <c r="B22" s="80"/>
      <c r="C22" s="79"/>
      <c r="D22" s="79"/>
      <c r="E22" s="89" t="s">
        <v>131</v>
      </c>
      <c r="F22" s="90">
        <v>2133.25</v>
      </c>
      <c r="G22" s="79"/>
    </row>
    <row r="23" spans="2:7" x14ac:dyDescent="0.3">
      <c r="B23" s="80"/>
      <c r="C23" s="79"/>
      <c r="D23" s="79"/>
      <c r="E23" s="89" t="s">
        <v>136</v>
      </c>
      <c r="F23" s="90">
        <v>1046.5</v>
      </c>
      <c r="G23" s="79"/>
    </row>
    <row r="24" spans="2:7" x14ac:dyDescent="0.3">
      <c r="B24" s="80"/>
      <c r="C24" s="79"/>
      <c r="D24" s="79"/>
      <c r="E24" s="89" t="s">
        <v>140</v>
      </c>
      <c r="F24" s="90">
        <v>2133.25</v>
      </c>
      <c r="G24" s="79"/>
    </row>
    <row r="25" spans="2:7" x14ac:dyDescent="0.3">
      <c r="B25" s="80"/>
      <c r="C25" s="79"/>
      <c r="D25" s="79"/>
      <c r="E25" s="89" t="s">
        <v>153</v>
      </c>
      <c r="F25" s="90">
        <v>3501.75</v>
      </c>
      <c r="G25" s="79"/>
    </row>
    <row r="26" spans="2:7" x14ac:dyDescent="0.3">
      <c r="B26" s="80"/>
      <c r="C26" s="79"/>
      <c r="D26" s="79"/>
      <c r="E26" s="89" t="s">
        <v>160</v>
      </c>
      <c r="F26" s="90">
        <v>2127.5</v>
      </c>
      <c r="G26" s="79"/>
    </row>
    <row r="27" spans="2:7" x14ac:dyDescent="0.3">
      <c r="B27" s="80"/>
      <c r="C27" s="79"/>
      <c r="D27" s="79"/>
      <c r="E27" s="89" t="s">
        <v>163</v>
      </c>
      <c r="F27" s="90">
        <v>6272.1</v>
      </c>
      <c r="G27" s="79"/>
    </row>
    <row r="28" spans="2:7" x14ac:dyDescent="0.3">
      <c r="B28" s="80"/>
      <c r="C28" s="79"/>
      <c r="D28" s="79"/>
      <c r="E28" s="89" t="s">
        <v>59</v>
      </c>
      <c r="F28" s="90">
        <v>575</v>
      </c>
      <c r="G28" s="79"/>
    </row>
    <row r="29" spans="2:7" x14ac:dyDescent="0.3">
      <c r="B29" s="80"/>
      <c r="C29" s="79"/>
      <c r="D29" s="79"/>
      <c r="E29" s="89" t="s">
        <v>226</v>
      </c>
      <c r="F29" s="90">
        <v>575</v>
      </c>
      <c r="G29" s="79"/>
    </row>
    <row r="30" spans="2:7" x14ac:dyDescent="0.3">
      <c r="B30" s="80"/>
      <c r="C30" s="79"/>
      <c r="D30" s="79"/>
      <c r="E30" s="89" t="s">
        <v>229</v>
      </c>
      <c r="F30" s="90">
        <v>2541.5</v>
      </c>
      <c r="G30" s="79"/>
    </row>
    <row r="31" spans="2:7" x14ac:dyDescent="0.3">
      <c r="B31" s="80"/>
      <c r="C31" s="79"/>
      <c r="D31" s="79"/>
      <c r="E31" s="89" t="s">
        <v>232</v>
      </c>
      <c r="F31" s="90">
        <v>2932.5</v>
      </c>
      <c r="G31" s="79"/>
    </row>
    <row r="32" spans="2:7" x14ac:dyDescent="0.3">
      <c r="B32" s="85"/>
      <c r="C32" s="86"/>
      <c r="D32" s="86"/>
      <c r="E32" s="86"/>
      <c r="F32" s="91">
        <f>SUM(F20:F31)</f>
        <v>24988.35</v>
      </c>
    </row>
    <row r="34" spans="2:7" x14ac:dyDescent="0.3">
      <c r="B34" s="74"/>
      <c r="C34" s="75"/>
      <c r="D34" s="75"/>
      <c r="E34" s="75"/>
      <c r="F34" s="75"/>
      <c r="G34" s="75"/>
    </row>
    <row r="35" spans="2:7" x14ac:dyDescent="0.3">
      <c r="B35" s="76" t="s">
        <v>279</v>
      </c>
      <c r="C35" s="77"/>
      <c r="D35" s="77"/>
      <c r="E35" s="77"/>
      <c r="F35" s="77"/>
      <c r="G35" s="77"/>
    </row>
    <row r="36" spans="2:7" x14ac:dyDescent="0.3">
      <c r="B36" s="92" t="s">
        <v>280</v>
      </c>
      <c r="C36" s="89" t="s">
        <v>252</v>
      </c>
      <c r="D36" s="89" t="s">
        <v>275</v>
      </c>
      <c r="E36" s="89" t="s">
        <v>276</v>
      </c>
      <c r="F36" s="89" t="s">
        <v>249</v>
      </c>
      <c r="G36" s="89" t="s">
        <v>277</v>
      </c>
    </row>
    <row r="37" spans="2:7" x14ac:dyDescent="0.3">
      <c r="B37" s="93"/>
      <c r="C37" s="94"/>
      <c r="D37" s="94"/>
      <c r="E37" s="95"/>
      <c r="F37" s="96"/>
      <c r="G37" s="97"/>
    </row>
    <row r="38" spans="2:7" x14ac:dyDescent="0.3">
      <c r="B38" s="93"/>
      <c r="C38" s="94"/>
      <c r="D38" s="94"/>
      <c r="E38" s="95"/>
      <c r="F38" s="96"/>
      <c r="G38" s="84"/>
    </row>
    <row r="39" spans="2:7" x14ac:dyDescent="0.3">
      <c r="B39" s="85"/>
      <c r="C39" s="98"/>
      <c r="D39" s="98"/>
      <c r="E39" s="98"/>
      <c r="F39" s="99">
        <f>SUM(F37:F38)</f>
        <v>0</v>
      </c>
    </row>
    <row r="41" spans="2:7" x14ac:dyDescent="0.3">
      <c r="B41" s="76"/>
      <c r="C41" s="77"/>
      <c r="D41" s="77"/>
      <c r="E41" s="77"/>
      <c r="F41" s="77"/>
      <c r="G41" s="77"/>
    </row>
    <row r="42" spans="2:7" x14ac:dyDescent="0.3">
      <c r="B42" s="78" t="s">
        <v>281</v>
      </c>
      <c r="C42" s="79" t="s">
        <v>252</v>
      </c>
      <c r="D42" s="79" t="s">
        <v>275</v>
      </c>
      <c r="E42" s="79" t="s">
        <v>276</v>
      </c>
      <c r="F42" s="79" t="s">
        <v>249</v>
      </c>
      <c r="G42" s="79" t="s">
        <v>277</v>
      </c>
    </row>
    <row r="43" spans="2:7" x14ac:dyDescent="0.3">
      <c r="B43" s="80"/>
      <c r="C43" s="100"/>
      <c r="D43" s="100"/>
      <c r="E43" s="95"/>
      <c r="F43" s="96"/>
      <c r="G43" s="101"/>
    </row>
    <row r="44" spans="2:7" x14ac:dyDescent="0.3">
      <c r="B44" s="80"/>
      <c r="C44" s="100"/>
      <c r="D44" s="100"/>
      <c r="E44" s="102"/>
      <c r="F44" s="103"/>
      <c r="G44" s="101"/>
    </row>
    <row r="45" spans="2:7" x14ac:dyDescent="0.3">
      <c r="B45" s="80"/>
      <c r="C45" s="100"/>
      <c r="D45" s="100"/>
      <c r="E45" s="102"/>
      <c r="F45" s="103"/>
      <c r="G45" s="101"/>
    </row>
    <row r="46" spans="2:7" x14ac:dyDescent="0.3">
      <c r="B46" s="85"/>
      <c r="C46" s="86"/>
      <c r="D46" s="86"/>
      <c r="E46" s="86"/>
      <c r="F46" s="104">
        <f>SUM(F43:F45)</f>
        <v>0</v>
      </c>
    </row>
    <row r="47" spans="2:7" x14ac:dyDescent="0.3">
      <c r="F47" s="35"/>
    </row>
    <row r="48" spans="2:7" x14ac:dyDescent="0.3">
      <c r="B48" s="105" t="s">
        <v>282</v>
      </c>
      <c r="C48" s="106"/>
      <c r="D48" s="106"/>
      <c r="E48" s="106"/>
      <c r="F48" s="107">
        <f>G5+F16+F32-F39-F46</f>
        <v>61368.6</v>
      </c>
    </row>
    <row r="49" spans="2:6" x14ac:dyDescent="0.3">
      <c r="B49" s="105" t="s">
        <v>283</v>
      </c>
      <c r="C49" s="106"/>
      <c r="D49" s="106"/>
      <c r="E49" s="106"/>
      <c r="F49" s="107">
        <f>F48-G6</f>
        <v>0</v>
      </c>
    </row>
    <row r="51" spans="2:6" x14ac:dyDescent="0.3">
      <c r="B51" s="47" t="s">
        <v>256</v>
      </c>
      <c r="E51" s="47" t="s">
        <v>264</v>
      </c>
    </row>
    <row r="52" spans="2:6" x14ac:dyDescent="0.3">
      <c r="B52" s="47" t="s">
        <v>284</v>
      </c>
      <c r="E52" s="47" t="s">
        <v>258</v>
      </c>
    </row>
    <row r="53" spans="2:6" x14ac:dyDescent="0.3">
      <c r="B53" s="47" t="s">
        <v>285</v>
      </c>
      <c r="E53" s="47" t="s">
        <v>286</v>
      </c>
    </row>
  </sheetData>
  <mergeCells count="10">
    <mergeCell ref="B42:B45"/>
    <mergeCell ref="B46:E46"/>
    <mergeCell ref="B48:E48"/>
    <mergeCell ref="B49:E49"/>
    <mergeCell ref="B11:B15"/>
    <mergeCell ref="B16:E16"/>
    <mergeCell ref="B19:B31"/>
    <mergeCell ref="B32:E32"/>
    <mergeCell ref="B36:B38"/>
    <mergeCell ref="B39:E39"/>
  </mergeCells>
  <pageMargins left="0.7" right="0.7" top="0.75" bottom="0.75" header="0.3" footer="0.3"/>
  <pageSetup paperSize="9" scale="5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Export to Excel</vt:lpstr>
      <vt:lpstr>Sheet1</vt:lpstr>
      <vt:lpstr>Sheet2</vt:lpstr>
      <vt:lpstr>Sheet3</vt:lpstr>
      <vt:lpstr>'Export to Excel'!Print_Area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Labadi</dc:creator>
  <cp:lastModifiedBy>Mohammed Labadi</cp:lastModifiedBy>
  <cp:lastPrinted>2026-09-08T09:01:30Z</cp:lastPrinted>
  <dcterms:created xsi:type="dcterms:W3CDTF">2026-09-08T09:02:36Z</dcterms:created>
  <dcterms:modified xsi:type="dcterms:W3CDTF">2026-09-08T09:02:36Z</dcterms:modified>
</cp:coreProperties>
</file>